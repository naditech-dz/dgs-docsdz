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CORRESPONDANCES" sheetId="3" state="visible" r:id="rId3"/>
  </sheets>
  <definedNames>
    <definedName name="_xlnm._FilterDatabase" localSheetId="0" hidden="1">'INDEX'!$A$4:$K$283</definedName>
    <definedName name="_xlnm.Print_Titles" localSheetId="0">'INDEX'!$4:$4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AD8C22"/>
      <sz val="16"/>
    </font>
    <font>
      <name val="Cambria"/>
      <charset val="1"/>
      <family val="0"/>
      <color rgb="FF6B6B6B"/>
      <sz val="9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sz val="10"/>
    </font>
    <font>
      <name val="Cambria"/>
      <charset val="1"/>
      <family val="0"/>
      <sz val="10"/>
    </font>
    <font>
      <name val="Cambria"/>
      <charset val="1"/>
      <family val="0"/>
      <b val="1"/>
      <color rgb="FFAD8C22"/>
      <sz val="14"/>
    </font>
    <font>
      <name val="Cambria"/>
      <charset val="1"/>
      <family val="0"/>
      <i val="1"/>
      <color rgb="FF6B6B6B"/>
      <sz val="9"/>
    </font>
    <font>
      <name val="Cambria"/>
      <charset val="1"/>
      <family val="0"/>
      <b val="1"/>
      <sz val="9"/>
    </font>
    <font>
      <name val="Cambria"/>
      <charset val="1"/>
      <family val="0"/>
      <sz val="9"/>
    </font>
    <font>
      <name val="Cambria"/>
      <charset val="1"/>
      <family val="0"/>
      <b val="1"/>
      <color rgb="FFAD8C22"/>
      <sz val="12"/>
    </font>
  </fonts>
  <fills count="4">
    <fill>
      <patternFill/>
    </fill>
    <fill>
      <patternFill patternType="gray125"/>
    </fill>
    <fill>
      <patternFill patternType="solid">
        <fgColor rgb="FFAD8C22"/>
        <bgColor rgb="FF808080"/>
      </patternFill>
    </fill>
    <fill>
      <patternFill patternType="solid">
        <fgColor rgb="FFF7F1DE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D8C2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2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top" wrapText="1"/>
    </xf>
    <xf numFmtId="0" fontId="8" fillId="3" borderId="2" applyAlignment="1" pivotButton="0" quotePrefix="0" xfId="0">
      <alignment horizontal="left" vertical="top" wrapText="1"/>
    </xf>
    <xf numFmtId="0" fontId="8" fillId="3" borderId="2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2" borderId="2" applyAlignment="1" pivotButton="0" quotePrefix="0" xfId="0">
      <alignment horizontal="general" vertical="center" wrapText="1"/>
    </xf>
    <xf numFmtId="0" fontId="8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  <xf numFmtId="0" fontId="8" fillId="0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left" vertical="top"/>
    </xf>
    <xf numFmtId="0" fontId="7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6" fillId="2" borderId="2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2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top" wrapText="1"/>
    </xf>
    <xf numFmtId="0" fontId="8" fillId="3" borderId="2" applyAlignment="1" pivotButton="0" quotePrefix="0" xfId="0">
      <alignment horizontal="left" vertical="top" wrapText="1"/>
    </xf>
    <xf numFmtId="0" fontId="8" fillId="3" borderId="2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2" borderId="2" applyAlignment="1" pivotButton="0" quotePrefix="0" xfId="0">
      <alignment horizontal="general" vertical="center" wrapText="1"/>
    </xf>
    <xf numFmtId="0" fontId="8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  <xf numFmtId="0" fontId="8" fillId="0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left" vertical="top"/>
    </xf>
    <xf numFmtId="0" fontId="7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6" fillId="2" borderId="2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AD8C22"/>
          <bgColor rgb="FF000000"/>
        </patternFill>
      </fill>
    </dxf>
    <dxf>
      <fill>
        <patternFill patternType="solid">
          <fgColor rgb="FFF7F1D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D8C22"/>
      <rgbColor rgb="FF800080"/>
      <rgbColor rgb="FF008080"/>
      <rgbColor rgb="FFBFBFBF"/>
      <rgbColor rgb="FF808080"/>
      <rgbColor rgb="FF9999FF"/>
      <rgbColor rgb="FF993366"/>
      <rgbColor rgb="FFF7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K28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22" min="1" max="1"/>
    <col width="38" customWidth="1" style="22" min="2" max="2"/>
    <col width="26" customWidth="1" style="22" min="3" max="3"/>
    <col width="52" customWidth="1" style="22" min="4" max="4"/>
    <col width="26" customWidth="1" style="22" min="5" max="5"/>
    <col width="9" customWidth="1" style="22" min="6" max="6"/>
    <col width="34" customWidth="1" style="22" min="7" max="7"/>
    <col width="6" customWidth="1" style="22" min="8" max="8"/>
    <col width="14" customWidth="1" style="22" min="9" max="9"/>
    <col width="16" customWidth="1" style="22" min="10" max="10"/>
    <col width="52" customWidth="1" style="22" min="11" max="11"/>
  </cols>
  <sheetData>
    <row r="1" ht="19.7" customHeight="1" s="23">
      <c r="A1" s="24" t="inlineStr">
        <is>
          <t>DGS — INDEX DES DOCUMENTS</t>
        </is>
      </c>
    </row>
    <row r="2" ht="15" customHeight="1" s="23">
      <c r="A2" s="25" t="inlineStr">
        <is>
          <t>EURL DYNAMIC GROUP SOLUTION  ·  Code : DGS-SYS-003  ·  Version : V1.0  ·  Date : 19/09/2026  ·  Statut : BROUILLON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</row>
    <row r="4" ht="27.75" customHeight="1" s="23">
      <c r="A4" s="27" t="inlineStr">
        <is>
          <t>Code</t>
        </is>
      </c>
      <c r="B4" s="27" t="inlineStr">
        <is>
          <t>Document</t>
        </is>
      </c>
      <c r="C4" s="27" t="inlineStr">
        <is>
          <t>Catégorie</t>
        </is>
      </c>
      <c r="D4" s="27" t="inlineStr">
        <is>
          <t>Utilisation</t>
        </is>
      </c>
      <c r="E4" s="27" t="inlineStr">
        <is>
          <t>Signature</t>
        </is>
      </c>
      <c r="F4" s="27" t="inlineStr">
        <is>
          <t>Version</t>
        </is>
      </c>
      <c r="G4" s="27" t="inlineStr">
        <is>
          <t>Dossier</t>
        </is>
      </c>
      <c r="H4" s="27" t="inlineStr">
        <is>
          <t>Lot</t>
        </is>
      </c>
      <c r="I4" s="27" t="inlineStr">
        <is>
          <t>Statut de création</t>
        </is>
      </c>
      <c r="J4" s="27" t="inlineStr">
        <is>
          <t>Statut du document</t>
        </is>
      </c>
      <c r="K4" s="27" t="inlineStr">
        <is>
          <t>Fichier</t>
        </is>
      </c>
    </row>
    <row r="5" ht="23.85" customHeight="1" s="23">
      <c r="A5" s="28" t="inlineStr">
        <is>
          <t>DGS-CLI-001</t>
        </is>
      </c>
      <c r="B5" s="29" t="inlineStr">
        <is>
          <t>Fiche d’identification client</t>
        </is>
      </c>
      <c r="C5" s="29" t="inlineStr">
        <is>
          <t>Client — Identification</t>
        </is>
      </c>
      <c r="D5" s="29" t="inlineStr">
        <is>
          <t>Identifier le client (personne physique ou morale) et ouvrir son dossier</t>
        </is>
      </c>
      <c r="E5" s="29" t="inlineStr">
        <is>
          <t>Client + DGS</t>
        </is>
      </c>
      <c r="F5" s="30" t="inlineStr">
        <is>
          <t>V1.0</t>
        </is>
      </c>
      <c r="G5" s="29" t="inlineStr">
        <is>
          <t>02_CLIENTS/Identification</t>
        </is>
      </c>
      <c r="H5" s="30" t="inlineStr">
        <is>
          <t>1</t>
        </is>
      </c>
      <c r="I5" s="30" t="inlineStr">
        <is>
          <t>Créé</t>
        </is>
      </c>
      <c r="J5" s="30" t="inlineStr">
        <is>
          <t>BROUILLON</t>
        </is>
      </c>
      <c r="K5" s="29" t="inlineStr">
        <is>
          <t>DGS-CLI-001-Fiche-Identification-Client.docx</t>
        </is>
      </c>
    </row>
    <row r="6" ht="23.85" customHeight="1" s="23">
      <c r="A6" s="28" t="inlineStr">
        <is>
          <t>DGS-CLI-002</t>
        </is>
      </c>
      <c r="B6" s="29" t="inlineStr">
        <is>
          <t>Fiche de demande client</t>
        </is>
      </c>
      <c r="C6" s="29" t="inlineStr">
        <is>
          <t>Client — Identification</t>
        </is>
      </c>
      <c r="D6" s="29" t="inlineStr">
        <is>
          <t>Enregistrer la demande initiale, le besoin exprimé et le budget indicatif</t>
        </is>
      </c>
      <c r="E6" s="29" t="inlineStr">
        <is>
          <t>DGS (+ Client)</t>
        </is>
      </c>
      <c r="F6" s="30" t="inlineStr">
        <is>
          <t>V1.0</t>
        </is>
      </c>
      <c r="G6" s="29" t="inlineStr">
        <is>
          <t>02_CLIENTS/Identification</t>
        </is>
      </c>
      <c r="H6" s="30" t="inlineStr">
        <is>
          <t>2B</t>
        </is>
      </c>
      <c r="I6" s="30" t="inlineStr">
        <is>
          <t>Créé</t>
        </is>
      </c>
      <c r="J6" s="30" t="inlineStr">
        <is>
          <t>BROUILLON</t>
        </is>
      </c>
      <c r="K6" s="29" t="inlineStr">
        <is>
          <t>DGS-CLI-002-Fiche-Demande-Client.docx</t>
        </is>
      </c>
    </row>
    <row r="7" ht="23.85" customHeight="1" s="23">
      <c r="A7" s="28" t="inlineStr">
        <is>
          <t>DGS-CLI-003</t>
        </is>
      </c>
      <c r="B7" s="29" t="inlineStr">
        <is>
          <t>Fiche de visite</t>
        </is>
      </c>
      <c r="C7" s="29" t="inlineStr">
        <is>
          <t>Client — Identification</t>
        </is>
      </c>
      <c r="D7" s="29" t="inlineStr">
        <is>
          <t>Consigner les observations techniques de la visite de site</t>
        </is>
      </c>
      <c r="E7" s="29" t="inlineStr">
        <is>
          <t>DGS (+ Client)</t>
        </is>
      </c>
      <c r="F7" s="30" t="inlineStr">
        <is>
          <t>V1.0</t>
        </is>
      </c>
      <c r="G7" s="29" t="inlineStr">
        <is>
          <t>02_CLIENTS/Identification</t>
        </is>
      </c>
      <c r="H7" s="30" t="inlineStr">
        <is>
          <t>2B</t>
        </is>
      </c>
      <c r="I7" s="30" t="inlineStr">
        <is>
          <t>Créé</t>
        </is>
      </c>
      <c r="J7" s="30" t="inlineStr">
        <is>
          <t>BROUILLON</t>
        </is>
      </c>
      <c r="K7" s="29" t="inlineStr">
        <is>
          <t>DGS-CLI-003-Fiche-Visite.docx</t>
        </is>
      </c>
    </row>
    <row r="8" ht="23.85" customHeight="1" s="23">
      <c r="A8" s="28" t="inlineStr">
        <is>
          <t>DGS-CLI-004</t>
        </is>
      </c>
      <c r="B8" s="29" t="inlineStr">
        <is>
          <t>Fiche de relevé</t>
        </is>
      </c>
      <c r="C8" s="29" t="inlineStr">
        <is>
          <t>Client — Identification</t>
        </is>
      </c>
      <c r="D8" s="29" t="inlineStr">
        <is>
          <t>Consigner les relevés dimensionnels pièce par pièce</t>
        </is>
      </c>
      <c r="E8" s="29" t="inlineStr">
        <is>
          <t>DGS</t>
        </is>
      </c>
      <c r="F8" s="30" t="inlineStr">
        <is>
          <t>V1.0</t>
        </is>
      </c>
      <c r="G8" s="29" t="inlineStr">
        <is>
          <t>02_CLIENTS/Identification</t>
        </is>
      </c>
      <c r="H8" s="30" t="inlineStr">
        <is>
          <t>2B</t>
        </is>
      </c>
      <c r="I8" s="30" t="inlineStr">
        <is>
          <t>Créé</t>
        </is>
      </c>
      <c r="J8" s="30" t="inlineStr">
        <is>
          <t>BROUILLON</t>
        </is>
      </c>
      <c r="K8" s="29" t="inlineStr">
        <is>
          <t>DGS-CLI-004-Fiche-Releve.docx</t>
        </is>
      </c>
    </row>
    <row r="9" ht="23.85" customHeight="1" s="23">
      <c r="A9" s="28" t="inlineStr">
        <is>
          <t>DGS-CLI-005</t>
        </is>
      </c>
      <c r="B9" s="29" t="inlineStr">
        <is>
          <t>Cahier des besoins client</t>
        </is>
      </c>
      <c r="C9" s="29" t="inlineStr">
        <is>
          <t>Client — Identification</t>
        </is>
      </c>
      <c r="D9" s="29" t="inlineStr">
        <is>
          <t>Formaliser programme, attentes, contraintes et priorités du client</t>
        </is>
      </c>
      <c r="E9" s="29" t="inlineStr">
        <is>
          <t>Client + DGS</t>
        </is>
      </c>
      <c r="F9" s="30" t="inlineStr">
        <is>
          <t>V1.0</t>
        </is>
      </c>
      <c r="G9" s="29" t="inlineStr">
        <is>
          <t>02_CLIENTS/Identification</t>
        </is>
      </c>
      <c r="H9" s="30" t="inlineStr">
        <is>
          <t>2B</t>
        </is>
      </c>
      <c r="I9" s="30" t="inlineStr">
        <is>
          <t>Créé</t>
        </is>
      </c>
      <c r="J9" s="30" t="inlineStr">
        <is>
          <t>BROUILLON</t>
        </is>
      </c>
      <c r="K9" s="29" t="inlineStr">
        <is>
          <t>DGS-CLI-005-Cahier-Besoins-Client.docx</t>
        </is>
      </c>
    </row>
    <row r="10" ht="23.85" customHeight="1" s="23">
      <c r="A10" s="28" t="inlineStr">
        <is>
          <t>DGS-CLI-006</t>
        </is>
      </c>
      <c r="B10" s="29" t="inlineStr">
        <is>
          <t>Compte rendu de réunion client</t>
        </is>
      </c>
      <c r="C10" s="29" t="inlineStr">
        <is>
          <t>Client — Identification</t>
        </is>
      </c>
      <c r="D10" s="29" t="inlineStr">
        <is>
          <t>Tracer les échanges et décisions d’une réunion avec le client</t>
        </is>
      </c>
      <c r="E10" s="29" t="inlineStr">
        <is>
          <t>DGS (+ Client)</t>
        </is>
      </c>
      <c r="F10" s="30" t="inlineStr">
        <is>
          <t>V1.0</t>
        </is>
      </c>
      <c r="G10" s="29" t="inlineStr">
        <is>
          <t>02_CLIENTS/Identification</t>
        </is>
      </c>
      <c r="H10" s="30" t="inlineStr">
        <is>
          <t>2B</t>
        </is>
      </c>
      <c r="I10" s="30" t="inlineStr">
        <is>
          <t>Créé</t>
        </is>
      </c>
      <c r="J10" s="30" t="inlineStr">
        <is>
          <t>BROUILLON</t>
        </is>
      </c>
      <c r="K10" s="29" t="inlineStr">
        <is>
          <t>DGS-CLI-006-Compte-Rendu-Reunion-Client.docx</t>
        </is>
      </c>
    </row>
    <row r="11" ht="23.85" customHeight="1" s="23">
      <c r="A11" s="28" t="inlineStr">
        <is>
          <t>DGS-CLI-007</t>
        </is>
      </c>
      <c r="B11" s="29" t="inlineStr">
        <is>
          <t>Devis estimatif</t>
        </is>
      </c>
      <c r="C11" s="29" t="inlineStr">
        <is>
          <t>Client — Devis et offres</t>
        </is>
      </c>
      <c r="D11" s="29" t="inlineStr">
        <is>
          <t>Donner une évaluation budgétaire indicative avant le devis détaillé</t>
        </is>
      </c>
      <c r="E11" s="29" t="inlineStr">
        <is>
          <t>DGS (+ Client)</t>
        </is>
      </c>
      <c r="F11" s="30" t="inlineStr">
        <is>
          <t>V1.0</t>
        </is>
      </c>
      <c r="G11" s="29" t="inlineStr">
        <is>
          <t>02_CLIENTS/Devis_Offres</t>
        </is>
      </c>
      <c r="H11" s="30" t="inlineStr">
        <is>
          <t>1</t>
        </is>
      </c>
      <c r="I11" s="30" t="inlineStr">
        <is>
          <t>Créé</t>
        </is>
      </c>
      <c r="J11" s="30" t="inlineStr">
        <is>
          <t>BROUILLON</t>
        </is>
      </c>
      <c r="K11" s="29" t="inlineStr">
        <is>
          <t>DGS-CLI-007-Devis-Estimatif.docx</t>
        </is>
      </c>
    </row>
    <row r="12" ht="23.85" customHeight="1" s="23">
      <c r="A12" s="28" t="inlineStr">
        <is>
          <t>DGS-CLI-008</t>
        </is>
      </c>
      <c r="B12" s="29" t="inlineStr">
        <is>
          <t>Devis détaillé</t>
        </is>
      </c>
      <c r="C12" s="29" t="inlineStr">
        <is>
          <t>Client — Devis et offres</t>
        </is>
      </c>
      <c r="D12" s="29" t="inlineStr">
        <is>
          <t>Chiffrer les travaux par lot (quantités, prix unitaires, totaux)</t>
        </is>
      </c>
      <c r="E12" s="29" t="inlineStr">
        <is>
          <t>DGS + Client</t>
        </is>
      </c>
      <c r="F12" s="30" t="inlineStr">
        <is>
          <t>V1.0</t>
        </is>
      </c>
      <c r="G12" s="29" t="inlineStr">
        <is>
          <t>02_CLIENTS/Devis_Offres</t>
        </is>
      </c>
      <c r="H12" s="30" t="inlineStr">
        <is>
          <t>1</t>
        </is>
      </c>
      <c r="I12" s="30" t="inlineStr">
        <is>
          <t>Créé</t>
        </is>
      </c>
      <c r="J12" s="30" t="inlineStr">
        <is>
          <t>BROUILLON</t>
        </is>
      </c>
      <c r="K12" s="29" t="inlineStr">
        <is>
          <t>DGS-CLI-008-Devis-Detaille.docx</t>
        </is>
      </c>
    </row>
    <row r="13" ht="23.85" customHeight="1" s="23">
      <c r="A13" s="28" t="inlineStr">
        <is>
          <t>DGS-CLI-009</t>
        </is>
      </c>
      <c r="B13" s="29" t="inlineStr">
        <is>
          <t>Offre commerciale</t>
        </is>
      </c>
      <c r="C13" s="29" t="inlineStr">
        <is>
          <t>Client — Devis et offres</t>
        </is>
      </c>
      <c r="D13" s="29" t="inlineStr">
        <is>
          <t>Présenter l’offre complète : méthode, planning, prix, conditions</t>
        </is>
      </c>
      <c r="E13" s="29" t="inlineStr">
        <is>
          <t>DGS + Client</t>
        </is>
      </c>
      <c r="F13" s="30" t="inlineStr">
        <is>
          <t>V1.0</t>
        </is>
      </c>
      <c r="G13" s="29" t="inlineStr">
        <is>
          <t>02_CLIENTS/Devis_Offres</t>
        </is>
      </c>
      <c r="H13" s="30" t="inlineStr">
        <is>
          <t>1</t>
        </is>
      </c>
      <c r="I13" s="30" t="inlineStr">
        <is>
          <t>Créé</t>
        </is>
      </c>
      <c r="J13" s="30" t="inlineStr">
        <is>
          <t>BROUILLON</t>
        </is>
      </c>
      <c r="K13" s="29" t="inlineStr">
        <is>
          <t>DGS-CLI-009-Offre-Commerciale.docx</t>
        </is>
      </c>
    </row>
    <row r="14" ht="23.85" customHeight="1" s="23">
      <c r="A14" s="28" t="inlineStr">
        <is>
          <t>DGS-CLI-010</t>
        </is>
      </c>
      <c r="B14" s="29" t="inlineStr">
        <is>
          <t>Bordereau des prix</t>
        </is>
      </c>
      <c r="C14" s="29" t="inlineStr">
        <is>
          <t>Client — Devis et offres</t>
        </is>
      </c>
      <c r="D14" s="29" t="inlineStr">
        <is>
          <t>Lister les prix unitaires applicables aux prestations</t>
        </is>
      </c>
      <c r="E14" s="29" t="inlineStr">
        <is>
          <t>DGS (+ Client)</t>
        </is>
      </c>
      <c r="F14" s="30" t="inlineStr">
        <is>
          <t>V1.0</t>
        </is>
      </c>
      <c r="G14" s="29" t="inlineStr">
        <is>
          <t>02_CLIENTS/Devis_Offres</t>
        </is>
      </c>
      <c r="H14" s="30" t="inlineStr">
        <is>
          <t>2B</t>
        </is>
      </c>
      <c r="I14" s="30" t="inlineStr">
        <is>
          <t>Créé</t>
        </is>
      </c>
      <c r="J14" s="30" t="inlineStr">
        <is>
          <t>BROUILLON</t>
        </is>
      </c>
      <c r="K14" s="29" t="inlineStr">
        <is>
          <t>DGS-CLI-010-Bordereau-Prix.docx</t>
        </is>
      </c>
    </row>
    <row r="15" ht="23.85" customHeight="1" s="23">
      <c r="A15" s="28" t="inlineStr">
        <is>
          <t>DGS-CLI-011</t>
        </is>
      </c>
      <c r="B15" s="29" t="inlineStr">
        <is>
          <t>Conditions de paiement</t>
        </is>
      </c>
      <c r="C15" s="29" t="inlineStr">
        <is>
          <t>Client — Devis et offres</t>
        </is>
      </c>
      <c r="D15" s="29" t="inlineStr">
        <is>
          <t>Définir échéancier, acomptes et modalités de règlement</t>
        </is>
      </c>
      <c r="E15" s="29" t="inlineStr">
        <is>
          <t>DGS + Client</t>
        </is>
      </c>
      <c r="F15" s="30" t="inlineStr">
        <is>
          <t>V1.0</t>
        </is>
      </c>
      <c r="G15" s="29" t="inlineStr">
        <is>
          <t>02_CLIENTS/Devis_Offres</t>
        </is>
      </c>
      <c r="H15" s="30" t="inlineStr">
        <is>
          <t>2B</t>
        </is>
      </c>
      <c r="I15" s="30" t="inlineStr">
        <is>
          <t>Créé</t>
        </is>
      </c>
      <c r="J15" s="30" t="inlineStr">
        <is>
          <t>BROUILLON</t>
        </is>
      </c>
      <c r="K15" s="29" t="inlineStr">
        <is>
          <t>DGS-CLI-011-Conditions-Paiement.docx</t>
        </is>
      </c>
    </row>
    <row r="16" ht="23.85" customHeight="1" s="23">
      <c r="A16" s="28" t="inlineStr">
        <is>
          <t>DGS-CLI-012</t>
        </is>
      </c>
      <c r="B16" s="29" t="inlineStr">
        <is>
          <t>Bon pour accord</t>
        </is>
      </c>
      <c r="C16" s="29" t="inlineStr">
        <is>
          <t>Client — Devis et offres</t>
        </is>
      </c>
      <c r="D16" s="29" t="inlineStr">
        <is>
          <t>Acter l’acceptation du devis ou de l’offre par le client</t>
        </is>
      </c>
      <c r="E16" s="29" t="inlineStr">
        <is>
          <t>Client + DGS</t>
        </is>
      </c>
      <c r="F16" s="30" t="inlineStr">
        <is>
          <t>V1.0</t>
        </is>
      </c>
      <c r="G16" s="29" t="inlineStr">
        <is>
          <t>02_CLIENTS/Devis_Offres</t>
        </is>
      </c>
      <c r="H16" s="30" t="inlineStr">
        <is>
          <t>1</t>
        </is>
      </c>
      <c r="I16" s="30" t="inlineStr">
        <is>
          <t>Créé</t>
        </is>
      </c>
      <c r="J16" s="30" t="inlineStr">
        <is>
          <t>BROUILLON</t>
        </is>
      </c>
      <c r="K16" s="29" t="inlineStr">
        <is>
          <t>DGS-CLI-012-Bon-Pour-Accord.docx</t>
        </is>
      </c>
    </row>
    <row r="17" ht="23.85" customHeight="1" s="23">
      <c r="A17" s="28" t="inlineStr">
        <is>
          <t>DGS-CON-001</t>
        </is>
      </c>
      <c r="B17" s="29" t="inlineStr">
        <is>
          <t>Contrat général de travaux</t>
        </is>
      </c>
      <c r="C17" s="29" t="inlineStr">
        <is>
          <t>Client — Contrats</t>
        </is>
      </c>
      <c r="D17" s="29" t="inlineStr">
        <is>
          <t>Encadrer une prestation de travaux de construction ou d’aménagement</t>
        </is>
      </c>
      <c r="E17" s="29" t="inlineStr">
        <is>
          <t>DGS + Client</t>
        </is>
      </c>
      <c r="F17" s="30" t="inlineStr">
        <is>
          <t>V1.0</t>
        </is>
      </c>
      <c r="G17" s="29" t="inlineStr">
        <is>
          <t>02_CLIENTS/Contrats/01_Contrats_Travaux</t>
        </is>
      </c>
      <c r="H17" s="30" t="inlineStr">
        <is>
          <t>2</t>
        </is>
      </c>
      <c r="I17" s="30" t="inlineStr">
        <is>
          <t>Créé</t>
        </is>
      </c>
      <c r="J17" s="30" t="inlineStr">
        <is>
          <t>BROUILLON</t>
        </is>
      </c>
      <c r="K17" s="29" t="inlineStr">
        <is>
          <t>DGS-CON-001-Contrat-General-Travaux.docx</t>
        </is>
      </c>
    </row>
    <row r="18" ht="23.85" customHeight="1" s="23">
      <c r="A18" s="28" t="inlineStr">
        <is>
          <t>DGS-CON-002</t>
        </is>
      </c>
      <c r="B18" s="29" t="inlineStr">
        <is>
          <t>Contrat de rénovation</t>
        </is>
      </c>
      <c r="C18" s="29" t="inlineStr">
        <is>
          <t>Client — Contrats</t>
        </is>
      </c>
      <c r="D18" s="29" t="inlineStr">
        <is>
          <t>Encadrer des travaux de rénovation d’un bien existant</t>
        </is>
      </c>
      <c r="E18" s="29" t="inlineStr">
        <is>
          <t>DGS + Client</t>
        </is>
      </c>
      <c r="F18" s="30" t="inlineStr">
        <is>
          <t>V1.0</t>
        </is>
      </c>
      <c r="G18" s="29" t="inlineStr">
        <is>
          <t>02_CLIENTS/Contrats/01_Contrats_Travaux</t>
        </is>
      </c>
      <c r="H18" s="30" t="inlineStr">
        <is>
          <t>2</t>
        </is>
      </c>
      <c r="I18" s="30" t="inlineStr">
        <is>
          <t>Créé</t>
        </is>
      </c>
      <c r="J18" s="30" t="inlineStr">
        <is>
          <t>BROUILLON</t>
        </is>
      </c>
      <c r="K18" s="29" t="inlineStr">
        <is>
          <t>DGS-CON-002-Contrat-Renovation.docx</t>
        </is>
      </c>
    </row>
    <row r="19" ht="23.85" customHeight="1" s="23">
      <c r="A19" s="28" t="inlineStr">
        <is>
          <t>DGS-CON-003</t>
        </is>
      </c>
      <c r="B19" s="29" t="inlineStr">
        <is>
          <t>Contrat de finition</t>
        </is>
      </c>
      <c r="C19" s="29" t="inlineStr">
        <is>
          <t>Client — Contrats</t>
        </is>
      </c>
      <c r="D19" s="29" t="inlineStr">
        <is>
          <t>Encadrer des travaux de second œuvre et de finition</t>
        </is>
      </c>
      <c r="E19" s="29" t="inlineStr">
        <is>
          <t>DGS + Client</t>
        </is>
      </c>
      <c r="F19" s="30" t="inlineStr">
        <is>
          <t>V1.0</t>
        </is>
      </c>
      <c r="G19" s="29" t="inlineStr">
        <is>
          <t>02_CLIENTS/Contrats/01_Contrats_Travaux</t>
        </is>
      </c>
      <c r="H19" s="30" t="inlineStr">
        <is>
          <t>2</t>
        </is>
      </c>
      <c r="I19" s="30" t="inlineStr">
        <is>
          <t>Créé</t>
        </is>
      </c>
      <c r="J19" s="30" t="inlineStr">
        <is>
          <t>BROUILLON</t>
        </is>
      </c>
      <c r="K19" s="29" t="inlineStr">
        <is>
          <t>DGS-CON-003-Contrat-Finition.docx</t>
        </is>
      </c>
    </row>
    <row r="20" ht="23.85" customHeight="1" s="23">
      <c r="A20" s="28" t="inlineStr">
        <is>
          <t>DGS-CON-004</t>
        </is>
      </c>
      <c r="B20" s="29" t="inlineStr">
        <is>
          <t>Contrat d’aménagement intérieur</t>
        </is>
      </c>
      <c r="C20" s="29" t="inlineStr">
        <is>
          <t>Client — Contrats</t>
        </is>
      </c>
      <c r="D20" s="29" t="inlineStr">
        <is>
          <t>Encadrer aménagement, décoration et mobilier sur mesure</t>
        </is>
      </c>
      <c r="E20" s="29" t="inlineStr">
        <is>
          <t>DGS + Client</t>
        </is>
      </c>
      <c r="F20" s="30" t="inlineStr">
        <is>
          <t>V1.0</t>
        </is>
      </c>
      <c r="G20" s="29" t="inlineStr">
        <is>
          <t>02_CLIENTS/Contrats/01_Contrats_Travaux</t>
        </is>
      </c>
      <c r="H20" s="30" t="inlineStr">
        <is>
          <t>2B</t>
        </is>
      </c>
      <c r="I20" s="30" t="inlineStr">
        <is>
          <t>Créé</t>
        </is>
      </c>
      <c r="J20" s="30" t="inlineStr">
        <is>
          <t>BROUILLON</t>
        </is>
      </c>
      <c r="K20" s="29" t="inlineStr">
        <is>
          <t>DGS-CON-004-Contrat-Amenagement-Interieur.docx</t>
        </is>
      </c>
    </row>
    <row r="21" ht="23.85" customHeight="1" s="23">
      <c r="A21" s="28" t="inlineStr">
        <is>
          <t>DGS-CON-005</t>
        </is>
      </c>
      <c r="B21" s="29" t="inlineStr">
        <is>
          <t>Contrat clé en main</t>
        </is>
      </c>
      <c r="C21" s="29" t="inlineStr">
        <is>
          <t>Client — Contrats</t>
        </is>
      </c>
      <c r="D21" s="29" t="inlineStr">
        <is>
          <t>Encadrer une prestation globale (conception, travaux, livraison)</t>
        </is>
      </c>
      <c r="E21" s="29" t="inlineStr">
        <is>
          <t>DGS + Client</t>
        </is>
      </c>
      <c r="F21" s="30" t="inlineStr">
        <is>
          <t>V1.0</t>
        </is>
      </c>
      <c r="G21" s="29" t="inlineStr">
        <is>
          <t>02_CLIENTS/Contrats/01_Contrats_Travaux</t>
        </is>
      </c>
      <c r="H21" s="30" t="inlineStr">
        <is>
          <t>2</t>
        </is>
      </c>
      <c r="I21" s="30" t="inlineStr">
        <is>
          <t>Créé</t>
        </is>
      </c>
      <c r="J21" s="30" t="inlineStr">
        <is>
          <t>BROUILLON</t>
        </is>
      </c>
      <c r="K21" s="29" t="inlineStr">
        <is>
          <t>DGS-CON-005-Contrat-Cle-En-Main.docx</t>
        </is>
      </c>
    </row>
    <row r="22" ht="23.85" customHeight="1" s="23">
      <c r="A22" s="28" t="inlineStr">
        <is>
          <t>DGS-CON-006</t>
        </is>
      </c>
      <c r="B22" s="29" t="inlineStr">
        <is>
          <t>Contrat de suivi de chantier</t>
        </is>
      </c>
      <c r="C22" s="29" t="inlineStr">
        <is>
          <t>Client — Contrats</t>
        </is>
      </c>
      <c r="D22" s="29" t="inlineStr">
        <is>
          <t>Encadrer une mission de suivi et de contrôle d’exécution</t>
        </is>
      </c>
      <c r="E22" s="29" t="inlineStr">
        <is>
          <t>DGS + Client</t>
        </is>
      </c>
      <c r="F22" s="30" t="inlineStr">
        <is>
          <t>V1.0</t>
        </is>
      </c>
      <c r="G22" s="29" t="inlineStr">
        <is>
          <t>02_CLIENTS/Contrats/02_Contrats_Services</t>
        </is>
      </c>
      <c r="H22" s="30" t="inlineStr">
        <is>
          <t>2B</t>
        </is>
      </c>
      <c r="I22" s="30" t="inlineStr">
        <is>
          <t>Créé</t>
        </is>
      </c>
      <c r="J22" s="30" t="inlineStr">
        <is>
          <t>BROUILLON</t>
        </is>
      </c>
      <c r="K22" s="29" t="inlineStr">
        <is>
          <t>DGS-CON-006-Contrat-Suivi-Chantier.docx</t>
        </is>
      </c>
    </row>
    <row r="23" ht="23.85" customHeight="1" s="23">
      <c r="A23" s="28" t="inlineStr">
        <is>
          <t>DGS-CON-007</t>
        </is>
      </c>
      <c r="B23" s="29" t="inlineStr">
        <is>
          <t>Contrat de conception</t>
        </is>
      </c>
      <c r="C23" s="29" t="inlineStr">
        <is>
          <t>Client — Contrats</t>
        </is>
      </c>
      <c r="D23" s="29" t="inlineStr">
        <is>
          <t>Encadrer une mission de conception et d’études</t>
        </is>
      </c>
      <c r="E23" s="29" t="inlineStr">
        <is>
          <t>DGS + Client</t>
        </is>
      </c>
      <c r="F23" s="30" t="inlineStr">
        <is>
          <t>V1.0</t>
        </is>
      </c>
      <c r="G23" s="29" t="inlineStr">
        <is>
          <t>02_CLIENTS/Contrats/02_Contrats_Services</t>
        </is>
      </c>
      <c r="H23" s="30" t="inlineStr">
        <is>
          <t>2B</t>
        </is>
      </c>
      <c r="I23" s="30" t="inlineStr">
        <is>
          <t>Créé</t>
        </is>
      </c>
      <c r="J23" s="30" t="inlineStr">
        <is>
          <t>BROUILLON</t>
        </is>
      </c>
      <c r="K23" s="29" t="inlineStr">
        <is>
          <t>DGS-CON-007-Contrat-Conception.docx</t>
        </is>
      </c>
    </row>
    <row r="24" ht="23.85" customHeight="1" s="23">
      <c r="A24" s="28" t="inlineStr">
        <is>
          <t>DGS-CON-008</t>
        </is>
      </c>
      <c r="B24" s="29" t="inlineStr">
        <is>
          <t>Contrat de prestation de service</t>
        </is>
      </c>
      <c r="C24" s="29" t="inlineStr">
        <is>
          <t>Client — Contrats</t>
        </is>
      </c>
      <c r="D24" s="29" t="inlineStr">
        <is>
          <t>Encadrer une prestation de service ponctuelle</t>
        </is>
      </c>
      <c r="E24" s="29" t="inlineStr">
        <is>
          <t>DGS + Client</t>
        </is>
      </c>
      <c r="F24" s="30" t="inlineStr">
        <is>
          <t>V1.0</t>
        </is>
      </c>
      <c r="G24" s="29" t="inlineStr">
        <is>
          <t>02_CLIENTS/Contrats/02_Contrats_Services</t>
        </is>
      </c>
      <c r="H24" s="30" t="inlineStr">
        <is>
          <t>2B</t>
        </is>
      </c>
      <c r="I24" s="30" t="inlineStr">
        <is>
          <t>Créé</t>
        </is>
      </c>
      <c r="J24" s="30" t="inlineStr">
        <is>
          <t>BROUILLON</t>
        </is>
      </c>
      <c r="K24" s="29" t="inlineStr">
        <is>
          <t>DGS-CON-008-Contrat-Prestation-Service.docx</t>
        </is>
      </c>
    </row>
    <row r="25" ht="23.85" customHeight="1" s="23">
      <c r="A25" s="28" t="inlineStr">
        <is>
          <t>DGS-CON-009</t>
        </is>
      </c>
      <c r="B25" s="29" t="inlineStr">
        <is>
          <t>Contrat de maintenance</t>
        </is>
      </c>
      <c r="C25" s="29" t="inlineStr">
        <is>
          <t>Client — Contrats</t>
        </is>
      </c>
      <c r="D25" s="29" t="inlineStr">
        <is>
          <t>Encadrer l’entretien et la maintenance après réception</t>
        </is>
      </c>
      <c r="E25" s="29" t="inlineStr">
        <is>
          <t>DGS + Client</t>
        </is>
      </c>
      <c r="F25" s="30" t="inlineStr">
        <is>
          <t>V1.0</t>
        </is>
      </c>
      <c r="G25" s="29" t="inlineStr">
        <is>
          <t>02_CLIENTS/Contrats/02_Contrats_Services</t>
        </is>
      </c>
      <c r="H25" s="30" t="inlineStr">
        <is>
          <t>2B</t>
        </is>
      </c>
      <c r="I25" s="30" t="inlineStr">
        <is>
          <t>Créé</t>
        </is>
      </c>
      <c r="J25" s="30" t="inlineStr">
        <is>
          <t>BROUILLON</t>
        </is>
      </c>
      <c r="K25" s="29" t="inlineStr">
        <is>
          <t>DGS-CON-009-Contrat-Maintenance.docx</t>
        </is>
      </c>
    </row>
    <row r="26" ht="23.85" customHeight="1" s="23">
      <c r="A26" s="28" t="inlineStr">
        <is>
          <t>DGS-CON-010</t>
        </is>
      </c>
      <c r="B26" s="29" t="inlineStr">
        <is>
          <t>Avenant au contrat</t>
        </is>
      </c>
      <c r="C26" s="29" t="inlineStr">
        <is>
          <t>Client — Contrats</t>
        </is>
      </c>
      <c r="D26" s="29" t="inlineStr">
        <is>
          <t>Modifier un contrat en cours (prix, délai, périmètre)</t>
        </is>
      </c>
      <c r="E26" s="29" t="inlineStr">
        <is>
          <t>DGS + Client</t>
        </is>
      </c>
      <c r="F26" s="30" t="inlineStr">
        <is>
          <t>V1.0</t>
        </is>
      </c>
      <c r="G26" s="29" t="inlineStr">
        <is>
          <t>02_CLIENTS/Avenants</t>
        </is>
      </c>
      <c r="H26" s="30" t="inlineStr">
        <is>
          <t>2</t>
        </is>
      </c>
      <c r="I26" s="30" t="inlineStr">
        <is>
          <t>Créé</t>
        </is>
      </c>
      <c r="J26" s="30" t="inlineStr">
        <is>
          <t>BROUILLON</t>
        </is>
      </c>
      <c r="K26" s="29" t="inlineStr">
        <is>
          <t>DGS-CON-010-Avenant-Au-Contrat.docx</t>
        </is>
      </c>
    </row>
    <row r="27" ht="23.85" customHeight="1" s="23">
      <c r="A27" s="28" t="inlineStr">
        <is>
          <t>DGS-PV-001</t>
        </is>
      </c>
      <c r="B27" s="29" t="inlineStr">
        <is>
          <t>PV de visite initiale</t>
        </is>
      </c>
      <c r="C27" s="29" t="inlineStr">
        <is>
          <t>Client — PV</t>
        </is>
      </c>
      <c r="D27" s="29" t="inlineStr">
        <is>
          <t>Constater l’état du site et les besoins lors de la première visite</t>
        </is>
      </c>
      <c r="E27" s="29" t="inlineStr">
        <is>
          <t>DGS + Client</t>
        </is>
      </c>
      <c r="F27" s="30" t="inlineStr">
        <is>
          <t>V1.0</t>
        </is>
      </c>
      <c r="G27" s="29" t="inlineStr">
        <is>
          <t>02_CLIENTS/PV/01_Lancement_Et_Validation</t>
        </is>
      </c>
      <c r="H27" s="30" t="inlineStr">
        <is>
          <t>3</t>
        </is>
      </c>
      <c r="I27" s="30" t="inlineStr">
        <is>
          <t>Créé</t>
        </is>
      </c>
      <c r="J27" s="30" t="inlineStr">
        <is>
          <t>BROUILLON</t>
        </is>
      </c>
      <c r="K27" s="29" t="inlineStr">
        <is>
          <t>DGS-PV-001-PV-Visite-Initiale.docx</t>
        </is>
      </c>
    </row>
    <row r="28" ht="23.85" customHeight="1" s="23">
      <c r="A28" s="28" t="inlineStr">
        <is>
          <t>DGS-PV-002</t>
        </is>
      </c>
      <c r="B28" s="29" t="inlineStr">
        <is>
          <t>PV d’état des lieux</t>
        </is>
      </c>
      <c r="C28" s="29" t="inlineStr">
        <is>
          <t>Client — PV</t>
        </is>
      </c>
      <c r="D28" s="29" t="inlineStr">
        <is>
          <t>Constater contradictoirement l’état existant avant travaux</t>
        </is>
      </c>
      <c r="E28" s="29" t="inlineStr">
        <is>
          <t>DGS + Client</t>
        </is>
      </c>
      <c r="F28" s="30" t="inlineStr">
        <is>
          <t>V1.0</t>
        </is>
      </c>
      <c r="G28" s="29" t="inlineStr">
        <is>
          <t>02_CLIENTS/PV/01_Lancement_Et_Validation</t>
        </is>
      </c>
      <c r="H28" s="30" t="inlineStr">
        <is>
          <t>3</t>
        </is>
      </c>
      <c r="I28" s="30" t="inlineStr">
        <is>
          <t>Créé</t>
        </is>
      </c>
      <c r="J28" s="30" t="inlineStr">
        <is>
          <t>BROUILLON</t>
        </is>
      </c>
      <c r="K28" s="29" t="inlineStr">
        <is>
          <t>DGS-PV-002-PV-Etat-Lieux.docx</t>
        </is>
      </c>
    </row>
    <row r="29" ht="23.85" customHeight="1" s="23">
      <c r="A29" s="28" t="inlineStr">
        <is>
          <t>DGS-PV-003</t>
        </is>
      </c>
      <c r="B29" s="29" t="inlineStr">
        <is>
          <t>PV de remise du site</t>
        </is>
      </c>
      <c r="C29" s="29" t="inlineStr">
        <is>
          <t>Client — PV</t>
        </is>
      </c>
      <c r="D29" s="29" t="inlineStr">
        <is>
          <t>Acter la mise à disposition du site à DGS</t>
        </is>
      </c>
      <c r="E29" s="29" t="inlineStr">
        <is>
          <t>Client + DGS</t>
        </is>
      </c>
      <c r="F29" s="30" t="inlineStr">
        <is>
          <t>V1.0</t>
        </is>
      </c>
      <c r="G29" s="29" t="inlineStr">
        <is>
          <t>02_CLIENTS/PV/01_Lancement_Et_Validation</t>
        </is>
      </c>
      <c r="H29" s="30" t="inlineStr">
        <is>
          <t>3</t>
        </is>
      </c>
      <c r="I29" s="30" t="inlineStr">
        <is>
          <t>Créé</t>
        </is>
      </c>
      <c r="J29" s="30" t="inlineStr">
        <is>
          <t>BROUILLON</t>
        </is>
      </c>
      <c r="K29" s="29" t="inlineStr">
        <is>
          <t>DGS-PV-003-PV-Remise-Site.docx</t>
        </is>
      </c>
    </row>
    <row r="30" ht="23.85" customHeight="1" s="23">
      <c r="A30" s="28" t="inlineStr">
        <is>
          <t>DGS-PV-004</t>
        </is>
      </c>
      <c r="B30" s="29" t="inlineStr">
        <is>
          <t>PV de réunion de lancement</t>
        </is>
      </c>
      <c r="C30" s="29" t="inlineStr">
        <is>
          <t>Client — PV</t>
        </is>
      </c>
      <c r="D30" s="29" t="inlineStr">
        <is>
          <t>Formaliser organisation, planning et règles au lancement</t>
        </is>
      </c>
      <c r="E30" s="29" t="inlineStr">
        <is>
          <t>DGS + Client (+ intervenants)</t>
        </is>
      </c>
      <c r="F30" s="30" t="inlineStr">
        <is>
          <t>V1.0</t>
        </is>
      </c>
      <c r="G30" s="29" t="inlineStr">
        <is>
          <t>02_CLIENTS/PV/01_Lancement_Et_Validation</t>
        </is>
      </c>
      <c r="H30" s="30" t="inlineStr">
        <is>
          <t>3</t>
        </is>
      </c>
      <c r="I30" s="30" t="inlineStr">
        <is>
          <t>Créé</t>
        </is>
      </c>
      <c r="J30" s="30" t="inlineStr">
        <is>
          <t>BROUILLON</t>
        </is>
      </c>
      <c r="K30" s="29" t="inlineStr">
        <is>
          <t>DGS-PV-004-PV-Reunion-Lancement.docx</t>
        </is>
      </c>
    </row>
    <row r="31" ht="23.85" customHeight="1" s="23">
      <c r="A31" s="28" t="inlineStr">
        <is>
          <t>DGS-PV-005</t>
        </is>
      </c>
      <c r="B31" s="29" t="inlineStr">
        <is>
          <t>PV de démarrage des travaux</t>
        </is>
      </c>
      <c r="C31" s="29" t="inlineStr">
        <is>
          <t>Client — PV</t>
        </is>
      </c>
      <c r="D31" s="29" t="inlineStr">
        <is>
          <t>Acter la date effective de démarrage des travaux</t>
        </is>
      </c>
      <c r="E31" s="29" t="inlineStr">
        <is>
          <t>DGS + Client</t>
        </is>
      </c>
      <c r="F31" s="30" t="inlineStr">
        <is>
          <t>V1.0</t>
        </is>
      </c>
      <c r="G31" s="29" t="inlineStr">
        <is>
          <t>02_CLIENTS/PV/01_Lancement_Et_Validation</t>
        </is>
      </c>
      <c r="H31" s="30" t="inlineStr">
        <is>
          <t>3</t>
        </is>
      </c>
      <c r="I31" s="30" t="inlineStr">
        <is>
          <t>Créé</t>
        </is>
      </c>
      <c r="J31" s="30" t="inlineStr">
        <is>
          <t>BROUILLON</t>
        </is>
      </c>
      <c r="K31" s="29" t="inlineStr">
        <is>
          <t>DGS-PV-005-PV-Demarrage-Travaux.docx</t>
        </is>
      </c>
    </row>
    <row r="32" ht="23.85" customHeight="1" s="23">
      <c r="A32" s="28" t="inlineStr">
        <is>
          <t>DGS-PV-006</t>
        </is>
      </c>
      <c r="B32" s="29" t="inlineStr">
        <is>
          <t>PV de validation des plans</t>
        </is>
      </c>
      <c r="C32" s="29" t="inlineStr">
        <is>
          <t>Client — PV</t>
        </is>
      </c>
      <c r="D32" s="29" t="inlineStr">
        <is>
          <t>Valider les plans d’exécution ou d’aménagement</t>
        </is>
      </c>
      <c r="E32" s="29" t="inlineStr">
        <is>
          <t>Client + DGS (+ Architecte)</t>
        </is>
      </c>
      <c r="F32" s="30" t="inlineStr">
        <is>
          <t>V1.0</t>
        </is>
      </c>
      <c r="G32" s="29" t="inlineStr">
        <is>
          <t>02_CLIENTS/PV/01_Lancement_Et_Validation</t>
        </is>
      </c>
      <c r="H32" s="30" t="inlineStr">
        <is>
          <t>3</t>
        </is>
      </c>
      <c r="I32" s="30" t="inlineStr">
        <is>
          <t>Créé</t>
        </is>
      </c>
      <c r="J32" s="30" t="inlineStr">
        <is>
          <t>BROUILLON</t>
        </is>
      </c>
      <c r="K32" s="29" t="inlineStr">
        <is>
          <t>DGS-PV-006-PV-Validation-Plans.docx</t>
        </is>
      </c>
    </row>
    <row r="33" ht="23.85" customHeight="1" s="23">
      <c r="A33" s="28" t="inlineStr">
        <is>
          <t>DGS-PV-007</t>
        </is>
      </c>
      <c r="B33" s="29" t="inlineStr">
        <is>
          <t>PV de validation des matériaux</t>
        </is>
      </c>
      <c r="C33" s="29" t="inlineStr">
        <is>
          <t>Client — PV</t>
        </is>
      </c>
      <c r="D33" s="29" t="inlineStr">
        <is>
          <t>Valider les matériaux proposés (nature, marque, référence)</t>
        </is>
      </c>
      <c r="E33" s="29" t="inlineStr">
        <is>
          <t>Client + DGS</t>
        </is>
      </c>
      <c r="F33" s="30" t="inlineStr">
        <is>
          <t>V1.0</t>
        </is>
      </c>
      <c r="G33" s="29" t="inlineStr">
        <is>
          <t>02_CLIENTS/PV/01_Lancement_Et_Validation</t>
        </is>
      </c>
      <c r="H33" s="30" t="inlineStr">
        <is>
          <t>3</t>
        </is>
      </c>
      <c r="I33" s="30" t="inlineStr">
        <is>
          <t>Créé</t>
        </is>
      </c>
      <c r="J33" s="30" t="inlineStr">
        <is>
          <t>BROUILLON</t>
        </is>
      </c>
      <c r="K33" s="29" t="inlineStr">
        <is>
          <t>DGS-PV-007-PV-Validation-Materiaux.docx</t>
        </is>
      </c>
    </row>
    <row r="34" ht="23.85" customHeight="1" s="23">
      <c r="A34" s="28" t="inlineStr">
        <is>
          <t>DGS-PV-008</t>
        </is>
      </c>
      <c r="B34" s="29" t="inlineStr">
        <is>
          <t>PV de validation des échantillons</t>
        </is>
      </c>
      <c r="C34" s="29" t="inlineStr">
        <is>
          <t>Client — PV</t>
        </is>
      </c>
      <c r="D34" s="29" t="inlineStr">
        <is>
          <t>Valider les échantillons présentés</t>
        </is>
      </c>
      <c r="E34" s="29" t="inlineStr">
        <is>
          <t>Client + DGS</t>
        </is>
      </c>
      <c r="F34" s="30" t="inlineStr">
        <is>
          <t>V1.0</t>
        </is>
      </c>
      <c r="G34" s="29" t="inlineStr">
        <is>
          <t>02_CLIENTS/PV/01_Lancement_Et_Validation</t>
        </is>
      </c>
      <c r="H34" s="30" t="inlineStr">
        <is>
          <t>3</t>
        </is>
      </c>
      <c r="I34" s="30" t="inlineStr">
        <is>
          <t>Créé</t>
        </is>
      </c>
      <c r="J34" s="30" t="inlineStr">
        <is>
          <t>BROUILLON</t>
        </is>
      </c>
      <c r="K34" s="29" t="inlineStr">
        <is>
          <t>DGS-PV-008-PV-Validation-Echantillons.docx</t>
        </is>
      </c>
    </row>
    <row r="35" ht="23.85" customHeight="1" s="23">
      <c r="A35" s="28" t="inlineStr">
        <is>
          <t>DGS-PV-009</t>
        </is>
      </c>
      <c r="B35" s="29" t="inlineStr">
        <is>
          <t>PV de validation des choix du client</t>
        </is>
      </c>
      <c r="C35" s="29" t="inlineStr">
        <is>
          <t>Client — PV</t>
        </is>
      </c>
      <c r="D35" s="29" t="inlineStr">
        <is>
          <t>Acter les choix du client (finitions, équipements, teintes)</t>
        </is>
      </c>
      <c r="E35" s="29" t="inlineStr">
        <is>
          <t>Client + DGS</t>
        </is>
      </c>
      <c r="F35" s="30" t="inlineStr">
        <is>
          <t>V1.0</t>
        </is>
      </c>
      <c r="G35" s="29" t="inlineStr">
        <is>
          <t>02_CLIENTS/PV/01_Lancement_Et_Validation</t>
        </is>
      </c>
      <c r="H35" s="30" t="inlineStr">
        <is>
          <t>3</t>
        </is>
      </c>
      <c r="I35" s="30" t="inlineStr">
        <is>
          <t>Créé</t>
        </is>
      </c>
      <c r="J35" s="30" t="inlineStr">
        <is>
          <t>BROUILLON</t>
        </is>
      </c>
      <c r="K35" s="29" t="inlineStr">
        <is>
          <t>DGS-PV-009-PV-Validation-Choix-Client.docx</t>
        </is>
      </c>
    </row>
    <row r="36" ht="23.85" customHeight="1" s="23">
      <c r="A36" s="28" t="inlineStr">
        <is>
          <t>DGS-PV-010</t>
        </is>
      </c>
      <c r="B36" s="29" t="inlineStr">
        <is>
          <t>PV de réunion de chantier</t>
        </is>
      </c>
      <c r="C36" s="29" t="inlineStr">
        <is>
          <t>Client — PV</t>
        </is>
      </c>
      <c r="D36" s="29" t="inlineStr">
        <is>
          <t>Tracer décisions et actions des réunions périodiques de chantier</t>
        </is>
      </c>
      <c r="E36" s="29" t="inlineStr">
        <is>
          <t>DGS + Client + intervenants</t>
        </is>
      </c>
      <c r="F36" s="30" t="inlineStr">
        <is>
          <t>V1.0</t>
        </is>
      </c>
      <c r="G36" s="29" t="inlineStr">
        <is>
          <t>02_CLIENTS/PV/02_Suivi_Et_Avancement</t>
        </is>
      </c>
      <c r="H36" s="30" t="inlineStr">
        <is>
          <t>3</t>
        </is>
      </c>
      <c r="I36" s="30" t="inlineStr">
        <is>
          <t>Créé</t>
        </is>
      </c>
      <c r="J36" s="30" t="inlineStr">
        <is>
          <t>BROUILLON</t>
        </is>
      </c>
      <c r="K36" s="29" t="inlineStr">
        <is>
          <t>DGS-PV-010-PV-Reunion-Chantier.docx</t>
        </is>
      </c>
    </row>
    <row r="37" ht="23.85" customHeight="1" s="23">
      <c r="A37" s="28" t="inlineStr">
        <is>
          <t>DGS-PV-011</t>
        </is>
      </c>
      <c r="B37" s="29" t="inlineStr">
        <is>
          <t>PV d’avancement des travaux</t>
        </is>
      </c>
      <c r="C37" s="29" t="inlineStr">
        <is>
          <t>Client — PV</t>
        </is>
      </c>
      <c r="D37" s="29" t="inlineStr">
        <is>
          <t>Constater l’avancement par rapport au planning</t>
        </is>
      </c>
      <c r="E37" s="29" t="inlineStr">
        <is>
          <t>DGS (+ Client)</t>
        </is>
      </c>
      <c r="F37" s="30" t="inlineStr">
        <is>
          <t>V1.0</t>
        </is>
      </c>
      <c r="G37" s="29" t="inlineStr">
        <is>
          <t>02_CLIENTS/PV/02_Suivi_Et_Avancement</t>
        </is>
      </c>
      <c r="H37" s="30" t="inlineStr">
        <is>
          <t>3</t>
        </is>
      </c>
      <c r="I37" s="30" t="inlineStr">
        <is>
          <t>Créé</t>
        </is>
      </c>
      <c r="J37" s="30" t="inlineStr">
        <is>
          <t>BROUILLON</t>
        </is>
      </c>
      <c r="K37" s="29" t="inlineStr">
        <is>
          <t>DGS-PV-011-PV-Avancement-Travaux.docx</t>
        </is>
      </c>
    </row>
    <row r="38" ht="23.85" customHeight="1" s="23">
      <c r="A38" s="28" t="inlineStr">
        <is>
          <t>DGS-PV-012</t>
        </is>
      </c>
      <c r="B38" s="29" t="inlineStr">
        <is>
          <t>PV de constat d’avancement</t>
        </is>
      </c>
      <c r="C38" s="29" t="inlineStr">
        <is>
          <t>Client — PV</t>
        </is>
      </c>
      <c r="D38" s="29" t="inlineStr">
        <is>
          <t>Constater contradictoirement quantités et état des travaux réalisés</t>
        </is>
      </c>
      <c r="E38" s="29" t="inlineStr">
        <is>
          <t>DGS + Client</t>
        </is>
      </c>
      <c r="F38" s="30" t="inlineStr">
        <is>
          <t>V1.0</t>
        </is>
      </c>
      <c r="G38" s="29" t="inlineStr">
        <is>
          <t>02_CLIENTS/PV/02_Suivi_Et_Avancement</t>
        </is>
      </c>
      <c r="H38" s="30" t="inlineStr">
        <is>
          <t>3</t>
        </is>
      </c>
      <c r="I38" s="30" t="inlineStr">
        <is>
          <t>Créé</t>
        </is>
      </c>
      <c r="J38" s="30" t="inlineStr">
        <is>
          <t>BROUILLON</t>
        </is>
      </c>
      <c r="K38" s="29" t="inlineStr">
        <is>
          <t>DGS-PV-012-PV-Constat-Avancement.docx</t>
        </is>
      </c>
    </row>
    <row r="39" ht="23.85" customHeight="1" s="23">
      <c r="A39" s="28" t="inlineStr">
        <is>
          <t>DGS-PV-013</t>
        </is>
      </c>
      <c r="B39" s="29" t="inlineStr">
        <is>
          <t>PV de réception d’une étape</t>
        </is>
      </c>
      <c r="C39" s="29" t="inlineStr">
        <is>
          <t>Client — PV</t>
        </is>
      </c>
      <c r="D39" s="29" t="inlineStr">
        <is>
          <t>Réceptionner une étape ou une phase intermédiaire</t>
        </is>
      </c>
      <c r="E39" s="29" t="inlineStr">
        <is>
          <t>DGS + Client</t>
        </is>
      </c>
      <c r="F39" s="30" t="inlineStr">
        <is>
          <t>V1.0</t>
        </is>
      </c>
      <c r="G39" s="29" t="inlineStr">
        <is>
          <t>02_CLIENTS/PV/02_Suivi_Et_Avancement</t>
        </is>
      </c>
      <c r="H39" s="30" t="inlineStr">
        <is>
          <t>3</t>
        </is>
      </c>
      <c r="I39" s="30" t="inlineStr">
        <is>
          <t>Créé</t>
        </is>
      </c>
      <c r="J39" s="30" t="inlineStr">
        <is>
          <t>BROUILLON</t>
        </is>
      </c>
      <c r="K39" s="29" t="inlineStr">
        <is>
          <t>DGS-PV-013-PV-Reception-Une-Etape.docx</t>
        </is>
      </c>
    </row>
    <row r="40" ht="23.85" customHeight="1" s="23">
      <c r="A40" s="28" t="inlineStr">
        <is>
          <t>DGS-PV-014</t>
        </is>
      </c>
      <c r="B40" s="29" t="inlineStr">
        <is>
          <t>PV de travaux modificatifs</t>
        </is>
      </c>
      <c r="C40" s="29" t="inlineStr">
        <is>
          <t>Client — PV</t>
        </is>
      </c>
      <c r="D40" s="29" t="inlineStr">
        <is>
          <t>Acter des modifications de travaux et leur incidence</t>
        </is>
      </c>
      <c r="E40" s="29" t="inlineStr">
        <is>
          <t>DGS + Client</t>
        </is>
      </c>
      <c r="F40" s="30" t="inlineStr">
        <is>
          <t>V1.0</t>
        </is>
      </c>
      <c r="G40" s="29" t="inlineStr">
        <is>
          <t>02_CLIENTS/PV/03_Modifications_Et_Travaux_Supplementaires</t>
        </is>
      </c>
      <c r="H40" s="30" t="inlineStr">
        <is>
          <t>3</t>
        </is>
      </c>
      <c r="I40" s="30" t="inlineStr">
        <is>
          <t>Créé</t>
        </is>
      </c>
      <c r="J40" s="30" t="inlineStr">
        <is>
          <t>BROUILLON</t>
        </is>
      </c>
      <c r="K40" s="29" t="inlineStr">
        <is>
          <t>DGS-PV-014-PV-Travaux-Modificatifs.docx</t>
        </is>
      </c>
    </row>
    <row r="41" ht="23.85" customHeight="1" s="23">
      <c r="A41" s="28" t="inlineStr">
        <is>
          <t>DGS-PV-015</t>
        </is>
      </c>
      <c r="B41" s="29" t="inlineStr">
        <is>
          <t>PV de travaux supplémentaires</t>
        </is>
      </c>
      <c r="C41" s="29" t="inlineStr">
        <is>
          <t>Client — PV</t>
        </is>
      </c>
      <c r="D41" s="29" t="inlineStr">
        <is>
          <t>Acter des travaux hors périmètre initial et leur incidence</t>
        </is>
      </c>
      <c r="E41" s="29" t="inlineStr">
        <is>
          <t>DGS + Client</t>
        </is>
      </c>
      <c r="F41" s="30" t="inlineStr">
        <is>
          <t>V1.0</t>
        </is>
      </c>
      <c r="G41" s="29" t="inlineStr">
        <is>
          <t>02_CLIENTS/PV/03_Modifications_Et_Travaux_Supplementaires</t>
        </is>
      </c>
      <c r="H41" s="30" t="inlineStr">
        <is>
          <t>3</t>
        </is>
      </c>
      <c r="I41" s="30" t="inlineStr">
        <is>
          <t>Créé</t>
        </is>
      </c>
      <c r="J41" s="30" t="inlineStr">
        <is>
          <t>BROUILLON</t>
        </is>
      </c>
      <c r="K41" s="29" t="inlineStr">
        <is>
          <t>DGS-PV-015-PV-Travaux-Supplementaires.docx</t>
        </is>
      </c>
    </row>
    <row r="42" ht="23.85" customHeight="1" s="23">
      <c r="A42" s="28" t="inlineStr">
        <is>
          <t>DGS-PV-016</t>
        </is>
      </c>
      <c r="B42" s="29" t="inlineStr">
        <is>
          <t>PV de demande de modification client</t>
        </is>
      </c>
      <c r="C42" s="29" t="inlineStr">
        <is>
          <t>Client — PV</t>
        </is>
      </c>
      <c r="D42" s="29" t="inlineStr">
        <is>
          <t>Enregistrer une demande de modification formulée par le client</t>
        </is>
      </c>
      <c r="E42" s="29" t="inlineStr">
        <is>
          <t>Client + DGS</t>
        </is>
      </c>
      <c r="F42" s="30" t="inlineStr">
        <is>
          <t>V1.0</t>
        </is>
      </c>
      <c r="G42" s="29" t="inlineStr">
        <is>
          <t>02_CLIENTS/PV/03_Modifications_Et_Travaux_Supplementaires</t>
        </is>
      </c>
      <c r="H42" s="30" t="inlineStr">
        <is>
          <t>3</t>
        </is>
      </c>
      <c r="I42" s="30" t="inlineStr">
        <is>
          <t>Créé</t>
        </is>
      </c>
      <c r="J42" s="30" t="inlineStr">
        <is>
          <t>BROUILLON</t>
        </is>
      </c>
      <c r="K42" s="29" t="inlineStr">
        <is>
          <t>DGS-PV-016-PV-Demande-Modification-Client.docx</t>
        </is>
      </c>
    </row>
    <row r="43" ht="23.85" customHeight="1" s="23">
      <c r="A43" s="28" t="inlineStr">
        <is>
          <t>DGS-PV-017</t>
        </is>
      </c>
      <c r="B43" s="29" t="inlineStr">
        <is>
          <t>PV de suspension des travaux</t>
        </is>
      </c>
      <c r="C43" s="29" t="inlineStr">
        <is>
          <t>Client — PV</t>
        </is>
      </c>
      <c r="D43" s="29" t="inlineStr">
        <is>
          <t>Acter l’arrêt temporaire des travaux et ses causes</t>
        </is>
      </c>
      <c r="E43" s="29" t="inlineStr">
        <is>
          <t>DGS + Client</t>
        </is>
      </c>
      <c r="F43" s="30" t="inlineStr">
        <is>
          <t>V1.0</t>
        </is>
      </c>
      <c r="G43" s="29" t="inlineStr">
        <is>
          <t>02_CLIENTS/PV/04_Arrets_Retards_Et_Litiges</t>
        </is>
      </c>
      <c r="H43" s="30" t="inlineStr">
        <is>
          <t>3</t>
        </is>
      </c>
      <c r="I43" s="30" t="inlineStr">
        <is>
          <t>Créé</t>
        </is>
      </c>
      <c r="J43" s="30" t="inlineStr">
        <is>
          <t>BROUILLON</t>
        </is>
      </c>
      <c r="K43" s="29" t="inlineStr">
        <is>
          <t>DGS-PV-017-PV-Suspension-Travaux.docx</t>
        </is>
      </c>
    </row>
    <row r="44" ht="23.85" customHeight="1" s="23">
      <c r="A44" s="28" t="inlineStr">
        <is>
          <t>DGS-PV-018</t>
        </is>
      </c>
      <c r="B44" s="29" t="inlineStr">
        <is>
          <t>PV de reprise des travaux</t>
        </is>
      </c>
      <c r="C44" s="29" t="inlineStr">
        <is>
          <t>Client — PV</t>
        </is>
      </c>
      <c r="D44" s="29" t="inlineStr">
        <is>
          <t>Acter la reprise des travaux après suspension</t>
        </is>
      </c>
      <c r="E44" s="29" t="inlineStr">
        <is>
          <t>DGS + Client</t>
        </is>
      </c>
      <c r="F44" s="30" t="inlineStr">
        <is>
          <t>V1.0</t>
        </is>
      </c>
      <c r="G44" s="29" t="inlineStr">
        <is>
          <t>02_CLIENTS/PV/04_Arrets_Retards_Et_Litiges</t>
        </is>
      </c>
      <c r="H44" s="30" t="inlineStr">
        <is>
          <t>3</t>
        </is>
      </c>
      <c r="I44" s="30" t="inlineStr">
        <is>
          <t>Créé</t>
        </is>
      </c>
      <c r="J44" s="30" t="inlineStr">
        <is>
          <t>BROUILLON</t>
        </is>
      </c>
      <c r="K44" s="29" t="inlineStr">
        <is>
          <t>DGS-PV-018-PV-Reprise-Travaux.docx</t>
        </is>
      </c>
    </row>
    <row r="45" ht="23.85" customHeight="1" s="23">
      <c r="A45" s="28" t="inlineStr">
        <is>
          <t>DGS-PV-019</t>
        </is>
      </c>
      <c r="B45" s="29" t="inlineStr">
        <is>
          <t>PV de retard</t>
        </is>
      </c>
      <c r="C45" s="29" t="inlineStr">
        <is>
          <t>Client — PV</t>
        </is>
      </c>
      <c r="D45" s="29" t="inlineStr">
        <is>
          <t>Constater un retard, ses causes et les mesures correctives</t>
        </is>
      </c>
      <c r="E45" s="29" t="inlineStr">
        <is>
          <t>DGS (+ Client)</t>
        </is>
      </c>
      <c r="F45" s="30" t="inlineStr">
        <is>
          <t>V1.0</t>
        </is>
      </c>
      <c r="G45" s="29" t="inlineStr">
        <is>
          <t>02_CLIENTS/PV/04_Arrets_Retards_Et_Litiges</t>
        </is>
      </c>
      <c r="H45" s="30" t="inlineStr">
        <is>
          <t>3</t>
        </is>
      </c>
      <c r="I45" s="30" t="inlineStr">
        <is>
          <t>Créé</t>
        </is>
      </c>
      <c r="J45" s="30" t="inlineStr">
        <is>
          <t>BROUILLON</t>
        </is>
      </c>
      <c r="K45" s="29" t="inlineStr">
        <is>
          <t>DGS-PV-019-PV-Retard.docx</t>
        </is>
      </c>
    </row>
    <row r="46" ht="23.85" customHeight="1" s="23">
      <c r="A46" s="28" t="inlineStr">
        <is>
          <t>DGS-PV-020</t>
        </is>
      </c>
      <c r="B46" s="29" t="inlineStr">
        <is>
          <t>PV de non-conformité</t>
        </is>
      </c>
      <c r="C46" s="29" t="inlineStr">
        <is>
          <t>Client — PV</t>
        </is>
      </c>
      <c r="D46" s="29" t="inlineStr">
        <is>
          <t>Constater une non-conformité et convenir de sa correction</t>
        </is>
      </c>
      <c r="E46" s="29" t="inlineStr">
        <is>
          <t>DGS + Client</t>
        </is>
      </c>
      <c r="F46" s="30" t="inlineStr">
        <is>
          <t>V1.0</t>
        </is>
      </c>
      <c r="G46" s="29" t="inlineStr">
        <is>
          <t>03_CHANTIERS/Non_Conformites</t>
        </is>
      </c>
      <c r="H46" s="30" t="inlineStr">
        <is>
          <t>3</t>
        </is>
      </c>
      <c r="I46" s="30" t="inlineStr">
        <is>
          <t>Créé</t>
        </is>
      </c>
      <c r="J46" s="30" t="inlineStr">
        <is>
          <t>BROUILLON</t>
        </is>
      </c>
      <c r="K46" s="29" t="inlineStr">
        <is>
          <t>DGS-PV-020-PV-Non-Conformite.docx</t>
        </is>
      </c>
    </row>
    <row r="47" ht="23.85" customHeight="1" s="23">
      <c r="A47" s="28" t="inlineStr">
        <is>
          <t>DGS-PV-021</t>
        </is>
      </c>
      <c r="B47" s="29" t="inlineStr">
        <is>
          <t>PV de constat de désaccord</t>
        </is>
      </c>
      <c r="C47" s="29" t="inlineStr">
        <is>
          <t>Client — PV</t>
        </is>
      </c>
      <c r="D47" s="29" t="inlineStr">
        <is>
          <t>Consigner les positions des parties en cas de désaccord</t>
        </is>
      </c>
      <c r="E47" s="29" t="inlineStr">
        <is>
          <t>DGS + Client</t>
        </is>
      </c>
      <c r="F47" s="30" t="inlineStr">
        <is>
          <t>V1.0</t>
        </is>
      </c>
      <c r="G47" s="29" t="inlineStr">
        <is>
          <t>02_CLIENTS/PV/04_Arrets_Retards_Et_Litiges</t>
        </is>
      </c>
      <c r="H47" s="30" t="inlineStr">
        <is>
          <t>3</t>
        </is>
      </c>
      <c r="I47" s="30" t="inlineStr">
        <is>
          <t>Créé</t>
        </is>
      </c>
      <c r="J47" s="30" t="inlineStr">
        <is>
          <t>BROUILLON</t>
        </is>
      </c>
      <c r="K47" s="29" t="inlineStr">
        <is>
          <t>DGS-PV-021-PV-Constat-Desaccord.docx</t>
        </is>
      </c>
    </row>
    <row r="48" ht="23.85" customHeight="1" s="23">
      <c r="A48" s="28" t="inlineStr">
        <is>
          <t>DGS-PV-022</t>
        </is>
      </c>
      <c r="B48" s="29" t="inlineStr">
        <is>
          <t>PV de pré-réception</t>
        </is>
      </c>
      <c r="C48" s="29" t="inlineStr">
        <is>
          <t>Client — PV</t>
        </is>
      </c>
      <c r="D48" s="29" t="inlineStr">
        <is>
          <t>Recenser les points restants avant la réception</t>
        </is>
      </c>
      <c r="E48" s="29" t="inlineStr">
        <is>
          <t>DGS + Client</t>
        </is>
      </c>
      <c r="F48" s="30" t="inlineStr">
        <is>
          <t>V1.0</t>
        </is>
      </c>
      <c r="G48" s="29" t="inlineStr">
        <is>
          <t>02_CLIENTS/Reception</t>
        </is>
      </c>
      <c r="H48" s="30" t="inlineStr">
        <is>
          <t>3</t>
        </is>
      </c>
      <c r="I48" s="30" t="inlineStr">
        <is>
          <t>Créé</t>
        </is>
      </c>
      <c r="J48" s="30" t="inlineStr">
        <is>
          <t>BROUILLON</t>
        </is>
      </c>
      <c r="K48" s="29" t="inlineStr">
        <is>
          <t>DGS-PV-022-PV-Pre-Reception.docx</t>
        </is>
      </c>
    </row>
    <row r="49" ht="23.85" customHeight="1" s="23">
      <c r="A49" s="28" t="inlineStr">
        <is>
          <t>DGS-PV-023</t>
        </is>
      </c>
      <c r="B49" s="29" t="inlineStr">
        <is>
          <t>PV de réception avec réserves</t>
        </is>
      </c>
      <c r="C49" s="29" t="inlineStr">
        <is>
          <t>Client — PV</t>
        </is>
      </c>
      <c r="D49" s="29" t="inlineStr">
        <is>
          <t>Réceptionner les travaux en listant les réserves</t>
        </is>
      </c>
      <c r="E49" s="29" t="inlineStr">
        <is>
          <t>DGS + Client</t>
        </is>
      </c>
      <c r="F49" s="30" t="inlineStr">
        <is>
          <t>V1.0</t>
        </is>
      </c>
      <c r="G49" s="29" t="inlineStr">
        <is>
          <t>02_CLIENTS/Reception</t>
        </is>
      </c>
      <c r="H49" s="30" t="inlineStr">
        <is>
          <t>3</t>
        </is>
      </c>
      <c r="I49" s="30" t="inlineStr">
        <is>
          <t>Créé</t>
        </is>
      </c>
      <c r="J49" s="30" t="inlineStr">
        <is>
          <t>BROUILLON</t>
        </is>
      </c>
      <c r="K49" s="29" t="inlineStr">
        <is>
          <t>DGS-PV-023-PV-Reception-Avec-Reserves.docx</t>
        </is>
      </c>
    </row>
    <row r="50" ht="23.85" customHeight="1" s="23">
      <c r="A50" s="28" t="inlineStr">
        <is>
          <t>DGS-PV-024</t>
        </is>
      </c>
      <c r="B50" s="29" t="inlineStr">
        <is>
          <t>PV de réception provisoire</t>
        </is>
      </c>
      <c r="C50" s="29" t="inlineStr">
        <is>
          <t>Client — PV</t>
        </is>
      </c>
      <c r="D50" s="29" t="inlineStr">
        <is>
          <t>Acter la réception provisoire des travaux</t>
        </is>
      </c>
      <c r="E50" s="29" t="inlineStr">
        <is>
          <t>DGS + Client (+ Architecte / BC)</t>
        </is>
      </c>
      <c r="F50" s="30" t="inlineStr">
        <is>
          <t>V1.0</t>
        </is>
      </c>
      <c r="G50" s="29" t="inlineStr">
        <is>
          <t>02_CLIENTS/Reception</t>
        </is>
      </c>
      <c r="H50" s="30" t="inlineStr">
        <is>
          <t>3</t>
        </is>
      </c>
      <c r="I50" s="30" t="inlineStr">
        <is>
          <t>Créé</t>
        </is>
      </c>
      <c r="J50" s="30" t="inlineStr">
        <is>
          <t>BROUILLON</t>
        </is>
      </c>
      <c r="K50" s="29" t="inlineStr">
        <is>
          <t>DGS-PV-024-PV-Reception-Provisoire.docx</t>
        </is>
      </c>
    </row>
    <row r="51" ht="23.85" customHeight="1" s="23">
      <c r="A51" s="28" t="inlineStr">
        <is>
          <t>DGS-PV-025</t>
        </is>
      </c>
      <c r="B51" s="29" t="inlineStr">
        <is>
          <t>PV de levée des réserves</t>
        </is>
      </c>
      <c r="C51" s="29" t="inlineStr">
        <is>
          <t>Client — PV</t>
        </is>
      </c>
      <c r="D51" s="29" t="inlineStr">
        <is>
          <t>Constater la levée des réserves</t>
        </is>
      </c>
      <c r="E51" s="29" t="inlineStr">
        <is>
          <t>DGS + Client</t>
        </is>
      </c>
      <c r="F51" s="30" t="inlineStr">
        <is>
          <t>V1.0</t>
        </is>
      </c>
      <c r="G51" s="29" t="inlineStr">
        <is>
          <t>02_CLIENTS/Reception</t>
        </is>
      </c>
      <c r="H51" s="30" t="inlineStr">
        <is>
          <t>3</t>
        </is>
      </c>
      <c r="I51" s="30" t="inlineStr">
        <is>
          <t>Créé</t>
        </is>
      </c>
      <c r="J51" s="30" t="inlineStr">
        <is>
          <t>BROUILLON</t>
        </is>
      </c>
      <c r="K51" s="29" t="inlineStr">
        <is>
          <t>DGS-PV-025-PV-Levee-Reserves.docx</t>
        </is>
      </c>
    </row>
    <row r="52" ht="23.85" customHeight="1" s="23">
      <c r="A52" s="28" t="inlineStr">
        <is>
          <t>DGS-PV-026</t>
        </is>
      </c>
      <c r="B52" s="29" t="inlineStr">
        <is>
          <t>PV de réception définitive</t>
        </is>
      </c>
      <c r="C52" s="29" t="inlineStr">
        <is>
          <t>Client — PV</t>
        </is>
      </c>
      <c r="D52" s="29" t="inlineStr">
        <is>
          <t>Acter la réception définitive des travaux</t>
        </is>
      </c>
      <c r="E52" s="29" t="inlineStr">
        <is>
          <t>DGS + Client</t>
        </is>
      </c>
      <c r="F52" s="30" t="inlineStr">
        <is>
          <t>V1.0</t>
        </is>
      </c>
      <c r="G52" s="29" t="inlineStr">
        <is>
          <t>02_CLIENTS/Reception</t>
        </is>
      </c>
      <c r="H52" s="30" t="inlineStr">
        <is>
          <t>3</t>
        </is>
      </c>
      <c r="I52" s="30" t="inlineStr">
        <is>
          <t>Créé</t>
        </is>
      </c>
      <c r="J52" s="30" t="inlineStr">
        <is>
          <t>BROUILLON</t>
        </is>
      </c>
      <c r="K52" s="29" t="inlineStr">
        <is>
          <t>DGS-PV-026-PV-Reception-Definitive.docx</t>
        </is>
      </c>
    </row>
    <row r="53" ht="23.85" customHeight="1" s="23">
      <c r="A53" s="28" t="inlineStr">
        <is>
          <t>DGS-PV-027</t>
        </is>
      </c>
      <c r="B53" s="29" t="inlineStr">
        <is>
          <t>PV de livraison des travaux</t>
        </is>
      </c>
      <c r="C53" s="29" t="inlineStr">
        <is>
          <t>Client — PV</t>
        </is>
      </c>
      <c r="D53" s="29" t="inlineStr">
        <is>
          <t>Acter la remise des travaux achevés</t>
        </is>
      </c>
      <c r="E53" s="29" t="inlineStr">
        <is>
          <t>DGS + Client</t>
        </is>
      </c>
      <c r="F53" s="30" t="inlineStr">
        <is>
          <t>V1.0</t>
        </is>
      </c>
      <c r="G53" s="29" t="inlineStr">
        <is>
          <t>02_CLIENTS/Reception</t>
        </is>
      </c>
      <c r="H53" s="30" t="inlineStr">
        <is>
          <t>3</t>
        </is>
      </c>
      <c r="I53" s="30" t="inlineStr">
        <is>
          <t>Créé</t>
        </is>
      </c>
      <c r="J53" s="30" t="inlineStr">
        <is>
          <t>BROUILLON</t>
        </is>
      </c>
      <c r="K53" s="29" t="inlineStr">
        <is>
          <t>DGS-PV-027-PV-Livraison-Travaux.docx</t>
        </is>
      </c>
    </row>
    <row r="54" ht="23.85" customHeight="1" s="23">
      <c r="A54" s="28" t="inlineStr">
        <is>
          <t>DGS-PV-028</t>
        </is>
      </c>
      <c r="B54" s="29" t="inlineStr">
        <is>
          <t>PV de remise des clés</t>
        </is>
      </c>
      <c r="C54" s="29" t="inlineStr">
        <is>
          <t>Client — PV</t>
        </is>
      </c>
      <c r="D54" s="29" t="inlineStr">
        <is>
          <t>Acter la remise des clés et des accès</t>
        </is>
      </c>
      <c r="E54" s="29" t="inlineStr">
        <is>
          <t>DGS + Client</t>
        </is>
      </c>
      <c r="F54" s="30" t="inlineStr">
        <is>
          <t>V1.0</t>
        </is>
      </c>
      <c r="G54" s="29" t="inlineStr">
        <is>
          <t>02_CLIENTS/Reception</t>
        </is>
      </c>
      <c r="H54" s="30" t="inlineStr">
        <is>
          <t>3</t>
        </is>
      </c>
      <c r="I54" s="30" t="inlineStr">
        <is>
          <t>Créé</t>
        </is>
      </c>
      <c r="J54" s="30" t="inlineStr">
        <is>
          <t>BROUILLON</t>
        </is>
      </c>
      <c r="K54" s="29" t="inlineStr">
        <is>
          <t>DGS-PV-028-PV-Remise-Cles.docx</t>
        </is>
      </c>
    </row>
    <row r="55" ht="23.85" customHeight="1" s="23">
      <c r="A55" s="28" t="inlineStr">
        <is>
          <t>DGS-PV-029</t>
        </is>
      </c>
      <c r="B55" s="29" t="inlineStr">
        <is>
          <t>PV de clôture du chantier</t>
        </is>
      </c>
      <c r="C55" s="29" t="inlineStr">
        <is>
          <t>Client — PV</t>
        </is>
      </c>
      <c r="D55" s="29" t="inlineStr">
        <is>
          <t>Clôturer administrativement le chantier</t>
        </is>
      </c>
      <c r="E55" s="29" t="inlineStr">
        <is>
          <t>DGS (+ Client)</t>
        </is>
      </c>
      <c r="F55" s="30" t="inlineStr">
        <is>
          <t>V1.0</t>
        </is>
      </c>
      <c r="G55" s="29" t="inlineStr">
        <is>
          <t>02_CLIENTS/Reception</t>
        </is>
      </c>
      <c r="H55" s="30" t="inlineStr">
        <is>
          <t>3</t>
        </is>
      </c>
      <c r="I55" s="30" t="inlineStr">
        <is>
          <t>Créé</t>
        </is>
      </c>
      <c r="J55" s="30" t="inlineStr">
        <is>
          <t>BROUILLON</t>
        </is>
      </c>
      <c r="K55" s="29" t="inlineStr">
        <is>
          <t>DGS-PV-029-PV-Cloture-Chantier.docx</t>
        </is>
      </c>
    </row>
    <row r="56" ht="23.85" customHeight="1" s="23">
      <c r="A56" s="28" t="inlineStr">
        <is>
          <t>DGS-PV-030</t>
        </is>
      </c>
      <c r="B56" s="29" t="inlineStr">
        <is>
          <t>PV de clôture du projet</t>
        </is>
      </c>
      <c r="C56" s="29" t="inlineStr">
        <is>
          <t>Client — PV</t>
        </is>
      </c>
      <c r="D56" s="29" t="inlineStr">
        <is>
          <t>Clôturer le projet (technique, financier, documentaire)</t>
        </is>
      </c>
      <c r="E56" s="29" t="inlineStr">
        <is>
          <t>DGS + Client</t>
        </is>
      </c>
      <c r="F56" s="30" t="inlineStr">
        <is>
          <t>V1.0</t>
        </is>
      </c>
      <c r="G56" s="29" t="inlineStr">
        <is>
          <t>02_CLIENTS/Reception</t>
        </is>
      </c>
      <c r="H56" s="30" t="inlineStr">
        <is>
          <t>3</t>
        </is>
      </c>
      <c r="I56" s="30" t="inlineStr">
        <is>
          <t>Créé</t>
        </is>
      </c>
      <c r="J56" s="30" t="inlineStr">
        <is>
          <t>BROUILLON</t>
        </is>
      </c>
      <c r="K56" s="29" t="inlineStr">
        <is>
          <t>DGS-PV-030-PV-Cloture-Projet.docx</t>
        </is>
      </c>
    </row>
    <row r="57" ht="23.85" customHeight="1" s="23">
      <c r="A57" s="28" t="inlineStr">
        <is>
          <t>DGS-PV-036</t>
        </is>
      </c>
      <c r="B57" s="29" t="inlineStr">
        <is>
          <t>PV de choix des matériaux</t>
        </is>
      </c>
      <c r="C57" s="29" t="inlineStr">
        <is>
          <t>Client — PV</t>
        </is>
      </c>
      <c r="D57" s="29" t="inlineStr">
        <is>
          <t>Consigner les options comparées et le choix retenu (gamme, marque, prix)</t>
        </is>
      </c>
      <c r="E57" s="29" t="inlineStr">
        <is>
          <t>Client + DGS</t>
        </is>
      </c>
      <c r="F57" s="30" t="inlineStr">
        <is>
          <t>V1.0</t>
        </is>
      </c>
      <c r="G57" s="29" t="inlineStr">
        <is>
          <t>02_CLIENTS/PV/01_Lancement_Et_Validation</t>
        </is>
      </c>
      <c r="H57" s="30" t="inlineStr">
        <is>
          <t>3</t>
        </is>
      </c>
      <c r="I57" s="30" t="inlineStr">
        <is>
          <t>Créé</t>
        </is>
      </c>
      <c r="J57" s="30" t="inlineStr">
        <is>
          <t>BROUILLON</t>
        </is>
      </c>
      <c r="K57" s="29" t="inlineStr">
        <is>
          <t>DGS-PV-036-PV-Choix-Materiaux.docx</t>
        </is>
      </c>
    </row>
    <row r="58" ht="23.85" customHeight="1" s="23">
      <c r="A58" s="28" t="inlineStr">
        <is>
          <t>DGS-PV-037</t>
        </is>
      </c>
      <c r="B58" s="29" t="inlineStr">
        <is>
          <t>PV d’annulation de contrat</t>
        </is>
      </c>
      <c r="C58" s="29" t="inlineStr">
        <is>
          <t>Client — PV</t>
        </is>
      </c>
      <c r="D58" s="29" t="inlineStr">
        <is>
          <t>Acter l’annulation d’un contrat, d’une commande ou d’une prestation</t>
        </is>
      </c>
      <c r="E58" s="29" t="inlineStr">
        <is>
          <t>DGS + Client</t>
        </is>
      </c>
      <c r="F58" s="30" t="inlineStr">
        <is>
          <t>V1.0</t>
        </is>
      </c>
      <c r="G58" s="29" t="inlineStr">
        <is>
          <t>02_CLIENTS/PV/04_Arrets_Retards_Et_Litiges</t>
        </is>
      </c>
      <c r="H58" s="30" t="inlineStr">
        <is>
          <t>10</t>
        </is>
      </c>
      <c r="I58" s="30" t="inlineStr">
        <is>
          <t>Créé</t>
        </is>
      </c>
      <c r="J58" s="30" t="inlineStr">
        <is>
          <t>BROUILLON</t>
        </is>
      </c>
      <c r="K58" s="29" t="inlineStr">
        <is>
          <t>DGS-PV-037-PV-Annulation-Contrat.docx</t>
        </is>
      </c>
    </row>
    <row r="59" ht="23.85" customHeight="1" s="23">
      <c r="A59" s="28" t="inlineStr">
        <is>
          <t>DGS-CLI-013</t>
        </is>
      </c>
      <c r="B59" s="29" t="inlineStr">
        <is>
          <t>Fiche demande SAV</t>
        </is>
      </c>
      <c r="C59" s="29" t="inlineStr">
        <is>
          <t>Client — SAV / Garantie</t>
        </is>
      </c>
      <c r="D59" s="29" t="inlineStr">
        <is>
          <t>Enregistrer une demande d’intervention après réception</t>
        </is>
      </c>
      <c r="E59" s="29" t="inlineStr">
        <is>
          <t>Client (+ DGS)</t>
        </is>
      </c>
      <c r="F59" s="30" t="inlineStr">
        <is>
          <t>V1.0</t>
        </is>
      </c>
      <c r="G59" s="29" t="inlineStr">
        <is>
          <t>02_CLIENTS/SAV</t>
        </is>
      </c>
      <c r="H59" s="30" t="inlineStr">
        <is>
          <t>3</t>
        </is>
      </c>
      <c r="I59" s="30" t="inlineStr">
        <is>
          <t>Créé</t>
        </is>
      </c>
      <c r="J59" s="30" t="inlineStr">
        <is>
          <t>BROUILLON</t>
        </is>
      </c>
      <c r="K59" s="29" t="inlineStr">
        <is>
          <t>DGS-CLI-013-Fiche-Demande-SAV.docx</t>
        </is>
      </c>
    </row>
    <row r="60" ht="23.85" customHeight="1" s="23">
      <c r="A60" s="28" t="inlineStr">
        <is>
          <t>DGS-PV-031</t>
        </is>
      </c>
      <c r="B60" s="29" t="inlineStr">
        <is>
          <t>PV de constat SAV</t>
        </is>
      </c>
      <c r="C60" s="29" t="inlineStr">
        <is>
          <t>Client — SAV / Garantie</t>
        </is>
      </c>
      <c r="D60" s="29" t="inlineStr">
        <is>
          <t>Constater le désordre signalé par le client</t>
        </is>
      </c>
      <c r="E60" s="29" t="inlineStr">
        <is>
          <t>DGS + Client</t>
        </is>
      </c>
      <c r="F60" s="30" t="inlineStr">
        <is>
          <t>V1.0</t>
        </is>
      </c>
      <c r="G60" s="29" t="inlineStr">
        <is>
          <t>02_CLIENTS/SAV</t>
        </is>
      </c>
      <c r="H60" s="30" t="inlineStr">
        <is>
          <t>3</t>
        </is>
      </c>
      <c r="I60" s="30" t="inlineStr">
        <is>
          <t>Créé</t>
        </is>
      </c>
      <c r="J60" s="30" t="inlineStr">
        <is>
          <t>BROUILLON</t>
        </is>
      </c>
      <c r="K60" s="29" t="inlineStr">
        <is>
          <t>DGS-PV-031-PV-Constat-SAV.docx</t>
        </is>
      </c>
    </row>
    <row r="61" ht="23.85" customHeight="1" s="23">
      <c r="A61" s="28" t="inlineStr">
        <is>
          <t>DGS-PV-032</t>
        </is>
      </c>
      <c r="B61" s="29" t="inlineStr">
        <is>
          <t>PV d’intervention SAV</t>
        </is>
      </c>
      <c r="C61" s="29" t="inlineStr">
        <is>
          <t>Client — SAV / Garantie</t>
        </is>
      </c>
      <c r="D61" s="29" t="inlineStr">
        <is>
          <t>Tracer l’intervention réalisée</t>
        </is>
      </c>
      <c r="E61" s="29" t="inlineStr">
        <is>
          <t>DGS + Client</t>
        </is>
      </c>
      <c r="F61" s="30" t="inlineStr">
        <is>
          <t>V1.0</t>
        </is>
      </c>
      <c r="G61" s="29" t="inlineStr">
        <is>
          <t>02_CLIENTS/SAV</t>
        </is>
      </c>
      <c r="H61" s="30" t="inlineStr">
        <is>
          <t>3</t>
        </is>
      </c>
      <c r="I61" s="30" t="inlineStr">
        <is>
          <t>Créé</t>
        </is>
      </c>
      <c r="J61" s="30" t="inlineStr">
        <is>
          <t>BROUILLON</t>
        </is>
      </c>
      <c r="K61" s="29" t="inlineStr">
        <is>
          <t>DGS-PV-032-PV-Intervention-SAV.docx</t>
        </is>
      </c>
    </row>
    <row r="62" ht="23.85" customHeight="1" s="23">
      <c r="A62" s="28" t="inlineStr">
        <is>
          <t>DGS-PV-033</t>
        </is>
      </c>
      <c r="B62" s="29" t="inlineStr">
        <is>
          <t>PV de réparation</t>
        </is>
      </c>
      <c r="C62" s="29" t="inlineStr">
        <is>
          <t>Client — SAV / Garantie</t>
        </is>
      </c>
      <c r="D62" s="29" t="inlineStr">
        <is>
          <t>Tracer une réparation et ses travaux</t>
        </is>
      </c>
      <c r="E62" s="29" t="inlineStr">
        <is>
          <t>DGS + Client</t>
        </is>
      </c>
      <c r="F62" s="30" t="inlineStr">
        <is>
          <t>V1.0</t>
        </is>
      </c>
      <c r="G62" s="29" t="inlineStr">
        <is>
          <t>02_CLIENTS/SAV</t>
        </is>
      </c>
      <c r="H62" s="30" t="inlineStr">
        <is>
          <t>3</t>
        </is>
      </c>
      <c r="I62" s="30" t="inlineStr">
        <is>
          <t>Créé</t>
        </is>
      </c>
      <c r="J62" s="30" t="inlineStr">
        <is>
          <t>BROUILLON</t>
        </is>
      </c>
      <c r="K62" s="29" t="inlineStr">
        <is>
          <t>DGS-PV-033-PV-Reparation.docx</t>
        </is>
      </c>
    </row>
    <row r="63" ht="23.85" customHeight="1" s="23">
      <c r="A63" s="28" t="inlineStr">
        <is>
          <t>DGS-PV-034</t>
        </is>
      </c>
      <c r="B63" s="29" t="inlineStr">
        <is>
          <t>PV de réception après intervention</t>
        </is>
      </c>
      <c r="C63" s="29" t="inlineStr">
        <is>
          <t>Client — SAV / Garantie</t>
        </is>
      </c>
      <c r="D63" s="29" t="inlineStr">
        <is>
          <t>Réceptionner l’intervention réalisée</t>
        </is>
      </c>
      <c r="E63" s="29" t="inlineStr">
        <is>
          <t>Client + DGS</t>
        </is>
      </c>
      <c r="F63" s="30" t="inlineStr">
        <is>
          <t>V1.0</t>
        </is>
      </c>
      <c r="G63" s="29" t="inlineStr">
        <is>
          <t>02_CLIENTS/SAV</t>
        </is>
      </c>
      <c r="H63" s="30" t="inlineStr">
        <is>
          <t>3</t>
        </is>
      </c>
      <c r="I63" s="30" t="inlineStr">
        <is>
          <t>Créé</t>
        </is>
      </c>
      <c r="J63" s="30" t="inlineStr">
        <is>
          <t>BROUILLON</t>
        </is>
      </c>
      <c r="K63" s="29" t="inlineStr">
        <is>
          <t>DGS-PV-034-PV-Reception-Apres-Intervention.docx</t>
        </is>
      </c>
    </row>
    <row r="64" ht="23.85" customHeight="1" s="23">
      <c r="A64" s="28" t="inlineStr">
        <is>
          <t>DGS-PV-035</t>
        </is>
      </c>
      <c r="B64" s="29" t="inlineStr">
        <is>
          <t>PV de clôture SAV</t>
        </is>
      </c>
      <c r="C64" s="29" t="inlineStr">
        <is>
          <t>Client — SAV / Garantie</t>
        </is>
      </c>
      <c r="D64" s="29" t="inlineStr">
        <is>
          <t>Clôturer la demande SAV</t>
        </is>
      </c>
      <c r="E64" s="29" t="inlineStr">
        <is>
          <t>DGS + Client</t>
        </is>
      </c>
      <c r="F64" s="30" t="inlineStr">
        <is>
          <t>V1.0</t>
        </is>
      </c>
      <c r="G64" s="29" t="inlineStr">
        <is>
          <t>02_CLIENTS/SAV</t>
        </is>
      </c>
      <c r="H64" s="30" t="inlineStr">
        <is>
          <t>3</t>
        </is>
      </c>
      <c r="I64" s="30" t="inlineStr">
        <is>
          <t>Créé</t>
        </is>
      </c>
      <c r="J64" s="30" t="inlineStr">
        <is>
          <t>BROUILLON</t>
        </is>
      </c>
      <c r="K64" s="29" t="inlineStr">
        <is>
          <t>DGS-PV-035-PV-Cloture-SAV.docx</t>
        </is>
      </c>
    </row>
    <row r="65" ht="23.85" customHeight="1" s="23">
      <c r="A65" s="28" t="inlineStr">
        <is>
          <t>DGS-CLI-014</t>
        </is>
      </c>
      <c r="B65" s="29" t="inlineStr">
        <is>
          <t>Fiche de suivi garantie</t>
        </is>
      </c>
      <c r="C65" s="29" t="inlineStr">
        <is>
          <t>Client — SAV / Garantie</t>
        </is>
      </c>
      <c r="D65" s="29" t="inlineStr">
        <is>
          <t>Suivre garanties, échéances et interventions par projet</t>
        </is>
      </c>
      <c r="E65" s="29" t="inlineStr">
        <is>
          <t>DGS</t>
        </is>
      </c>
      <c r="F65" s="30" t="inlineStr">
        <is>
          <t>V1.0</t>
        </is>
      </c>
      <c r="G65" s="29" t="inlineStr">
        <is>
          <t>02_CLIENTS/Garanties</t>
        </is>
      </c>
      <c r="H65" s="30" t="inlineStr">
        <is>
          <t>3</t>
        </is>
      </c>
      <c r="I65" s="30" t="inlineStr">
        <is>
          <t>Créé</t>
        </is>
      </c>
      <c r="J65" s="30" t="inlineStr">
        <is>
          <t>BROUILLON</t>
        </is>
      </c>
      <c r="K65" s="29" t="inlineStr">
        <is>
          <t>DGS-CLI-014-Fiche-Suivi-Garantie.docx</t>
        </is>
      </c>
    </row>
    <row r="66" ht="23.85" customHeight="1" s="23">
      <c r="A66" s="28" t="inlineStr">
        <is>
          <t>DGS-CLI-015</t>
        </is>
      </c>
      <c r="B66" s="29" t="inlineStr">
        <is>
          <t>Reçu de paiement</t>
        </is>
      </c>
      <c r="C66" s="29" t="inlineStr">
        <is>
          <t>Client — Correspondance</t>
        </is>
      </c>
      <c r="D66" s="29" t="inlineStr">
        <is>
          <t>Constater la réception d’un paiement du client</t>
        </is>
      </c>
      <c r="E66" s="29" t="inlineStr">
        <is>
          <t>DGS</t>
        </is>
      </c>
      <c r="F66" s="30" t="inlineStr">
        <is>
          <t>V1.0</t>
        </is>
      </c>
      <c r="G66" s="29" t="inlineStr">
        <is>
          <t>02_CLIENTS/Facturation</t>
        </is>
      </c>
      <c r="H66" s="30" t="inlineStr">
        <is>
          <t>10</t>
        </is>
      </c>
      <c r="I66" s="30" t="inlineStr">
        <is>
          <t>Créé</t>
        </is>
      </c>
      <c r="J66" s="30" t="inlineStr">
        <is>
          <t>BROUILLON</t>
        </is>
      </c>
      <c r="K66" s="29" t="inlineStr">
        <is>
          <t>DGS-CLI-015-Recu-Paiement.docx</t>
        </is>
      </c>
    </row>
    <row r="67" ht="23.85" customHeight="1" s="23">
      <c r="A67" s="28" t="inlineStr">
        <is>
          <t>DGS-CLI-016</t>
        </is>
      </c>
      <c r="B67" s="29" t="inlineStr">
        <is>
          <t>Lettre de rappel de paiement</t>
        </is>
      </c>
      <c r="C67" s="29" t="inlineStr">
        <is>
          <t>Client — Correspondance</t>
        </is>
      </c>
      <c r="D67" s="29" t="inlineStr">
        <is>
          <t>Rappeler au client une facture échue et impayée</t>
        </is>
      </c>
      <c r="E67" s="29" t="inlineStr">
        <is>
          <t>DGS</t>
        </is>
      </c>
      <c r="F67" s="30" t="inlineStr">
        <is>
          <t>V1.0</t>
        </is>
      </c>
      <c r="G67" s="29" t="inlineStr">
        <is>
          <t>02_CLIENTS/Facturation</t>
        </is>
      </c>
      <c r="H67" s="30" t="inlineStr">
        <is>
          <t>10</t>
        </is>
      </c>
      <c r="I67" s="30" t="inlineStr">
        <is>
          <t>Créé</t>
        </is>
      </c>
      <c r="J67" s="30" t="inlineStr">
        <is>
          <t>BROUILLON</t>
        </is>
      </c>
      <c r="K67" s="29" t="inlineStr">
        <is>
          <t>DGS-CLI-016-Lettre-Rappel-Paiement.docx</t>
        </is>
      </c>
    </row>
    <row r="68" ht="23.85" customHeight="1" s="23">
      <c r="A68" s="28" t="inlineStr">
        <is>
          <t>DGS-CLI-017</t>
        </is>
      </c>
      <c r="B68" s="29" t="inlineStr">
        <is>
          <t>Mise en demeure de payer</t>
        </is>
      </c>
      <c r="C68" s="29" t="inlineStr">
        <is>
          <t>Client — Correspondance</t>
        </is>
      </c>
      <c r="D68" s="29" t="inlineStr">
        <is>
          <t>Mettre le client en demeure de régler une somme due [À VALIDER JURIDIQUEMENT]</t>
        </is>
      </c>
      <c r="E68" s="29" t="inlineStr">
        <is>
          <t>DGS</t>
        </is>
      </c>
      <c r="F68" s="30" t="inlineStr">
        <is>
          <t>V1.0</t>
        </is>
      </c>
      <c r="G68" s="29" t="inlineStr">
        <is>
          <t>02_CLIENTS/Facturation</t>
        </is>
      </c>
      <c r="H68" s="30" t="inlineStr">
        <is>
          <t>10</t>
        </is>
      </c>
      <c r="I68" s="30" t="inlineStr">
        <is>
          <t>Créé</t>
        </is>
      </c>
      <c r="J68" s="30" t="inlineStr">
        <is>
          <t>BROUILLON</t>
        </is>
      </c>
      <c r="K68" s="29" t="inlineStr">
        <is>
          <t>DGS-CLI-017-Mise-En-Demeure-Payer.docx</t>
        </is>
      </c>
    </row>
    <row r="69" ht="23.85" customHeight="1" s="23">
      <c r="A69" s="28" t="inlineStr">
        <is>
          <t>DGS-CLI-018</t>
        </is>
      </c>
      <c r="B69" s="29" t="inlineStr">
        <is>
          <t>Fiche de réclamation client</t>
        </is>
      </c>
      <c r="C69" s="29" t="inlineStr">
        <is>
          <t>Client — Correspondance</t>
        </is>
      </c>
      <c r="D69" s="29" t="inlineStr">
        <is>
          <t>Enregistrer et traiter une réclamation du client</t>
        </is>
      </c>
      <c r="E69" s="29" t="inlineStr">
        <is>
          <t>DGS (+ Client)</t>
        </is>
      </c>
      <c r="F69" s="30" t="inlineStr">
        <is>
          <t>V1.0</t>
        </is>
      </c>
      <c r="G69" s="29" t="inlineStr">
        <is>
          <t>02_CLIENTS/SAV</t>
        </is>
      </c>
      <c r="H69" s="30" t="inlineStr">
        <is>
          <t>10</t>
        </is>
      </c>
      <c r="I69" s="30" t="inlineStr">
        <is>
          <t>Créé</t>
        </is>
      </c>
      <c r="J69" s="30" t="inlineStr">
        <is>
          <t>BROUILLON</t>
        </is>
      </c>
      <c r="K69" s="29" t="inlineStr">
        <is>
          <t>DGS-CLI-018-Fiche-Reclamation-Client.docx</t>
        </is>
      </c>
    </row>
    <row r="70" ht="23.85" customHeight="1" s="23">
      <c r="A70" s="28" t="inlineStr">
        <is>
          <t>DGS-CLI-019</t>
        </is>
      </c>
      <c r="B70" s="29" t="inlineStr">
        <is>
          <t>Fiche de demande de révision client</t>
        </is>
      </c>
      <c r="C70" s="29" t="inlineStr">
        <is>
          <t>Client — Correspondance</t>
        </is>
      </c>
      <c r="D70" s="29" t="inlineStr">
        <is>
          <t>Enregistrer une demande de révision d’un devis, d’un plan ou d’une prestation</t>
        </is>
      </c>
      <c r="E70" s="29" t="inlineStr">
        <is>
          <t>Client + DGS</t>
        </is>
      </c>
      <c r="F70" s="30" t="inlineStr">
        <is>
          <t>V1.0</t>
        </is>
      </c>
      <c r="G70" s="29" t="inlineStr">
        <is>
          <t>02_CLIENTS/Devis_Offres</t>
        </is>
      </c>
      <c r="H70" s="30" t="inlineStr">
        <is>
          <t>10</t>
        </is>
      </c>
      <c r="I70" s="30" t="inlineStr">
        <is>
          <t>Créé</t>
        </is>
      </c>
      <c r="J70" s="30" t="inlineStr">
        <is>
          <t>BROUILLON</t>
        </is>
      </c>
      <c r="K70" s="29" t="inlineStr">
        <is>
          <t>DGS-CLI-019-Fiche-Demande-Revision-Client.docx</t>
        </is>
      </c>
    </row>
    <row r="71" ht="23.85" customHeight="1" s="23">
      <c r="A71" s="28" t="inlineStr">
        <is>
          <t>DGS-CLI-020</t>
        </is>
      </c>
      <c r="B71" s="29" t="inlineStr">
        <is>
          <t>Lettre de transmission de documents</t>
        </is>
      </c>
      <c r="C71" s="29" t="inlineStr">
        <is>
          <t>Client — Correspondance</t>
        </is>
      </c>
      <c r="D71" s="29" t="inlineStr">
        <is>
          <t>Transmettre des documents au client avec accusé de réception</t>
        </is>
      </c>
      <c r="E71" s="29" t="inlineStr">
        <is>
          <t>DGS (+ accusé du Client)</t>
        </is>
      </c>
      <c r="F71" s="30" t="inlineStr">
        <is>
          <t>V1.0</t>
        </is>
      </c>
      <c r="G71" s="29" t="inlineStr">
        <is>
          <t>02_CLIENTS/Devis_Offres</t>
        </is>
      </c>
      <c r="H71" s="30" t="inlineStr">
        <is>
          <t>10</t>
        </is>
      </c>
      <c r="I71" s="30" t="inlineStr">
        <is>
          <t>Créé</t>
        </is>
      </c>
      <c r="J71" s="30" t="inlineStr">
        <is>
          <t>BROUILLON</t>
        </is>
      </c>
      <c r="K71" s="29" t="inlineStr">
        <is>
          <t>DGS-CLI-020-Lettre-Transmission-Documents.docx</t>
        </is>
      </c>
    </row>
    <row r="72" ht="23.85" customHeight="1" s="23">
      <c r="A72" s="28" t="inlineStr">
        <is>
          <t>DGS-CLI-021</t>
        </is>
      </c>
      <c r="B72" s="29" t="inlineStr">
        <is>
          <t>Attestation de fin de travaux</t>
        </is>
      </c>
      <c r="C72" s="29" t="inlineStr">
        <is>
          <t>Client — Correspondance</t>
        </is>
      </c>
      <c r="D72" s="29" t="inlineStr">
        <is>
          <t>Attester de l’achèvement et de la réception des travaux</t>
        </is>
      </c>
      <c r="E72" s="29" t="inlineStr">
        <is>
          <t>DGS</t>
        </is>
      </c>
      <c r="F72" s="30" t="inlineStr">
        <is>
          <t>V1.0</t>
        </is>
      </c>
      <c r="G72" s="29" t="inlineStr">
        <is>
          <t>02_CLIENTS/Reception</t>
        </is>
      </c>
      <c r="H72" s="30" t="inlineStr">
        <is>
          <t>10</t>
        </is>
      </c>
      <c r="I72" s="30" t="inlineStr">
        <is>
          <t>Créé</t>
        </is>
      </c>
      <c r="J72" s="30" t="inlineStr">
        <is>
          <t>BROUILLON</t>
        </is>
      </c>
      <c r="K72" s="29" t="inlineStr">
        <is>
          <t>DGS-CLI-021-Attestation-Fin-Travaux.docx</t>
        </is>
      </c>
    </row>
    <row r="73" ht="23.85" customHeight="1" s="23">
      <c r="A73" s="28" t="inlineStr">
        <is>
          <t>DGS-CLI-022</t>
        </is>
      </c>
      <c r="B73" s="29" t="inlineStr">
        <is>
          <t>Lettre de résiliation de contrat</t>
        </is>
      </c>
      <c r="C73" s="29" t="inlineStr">
        <is>
          <t>Client — Correspondance</t>
        </is>
      </c>
      <c r="D73" s="29" t="inlineStr">
        <is>
          <t>Notifier la résiliation d’un contrat [À VALIDER JURIDIQUEMENT]</t>
        </is>
      </c>
      <c r="E73" s="29" t="inlineStr">
        <is>
          <t>DGS</t>
        </is>
      </c>
      <c r="F73" s="30" t="inlineStr">
        <is>
          <t>V1.0</t>
        </is>
      </c>
      <c r="G73" s="29" t="inlineStr">
        <is>
          <t>02_CLIENTS/Contrats/03_Resiliation</t>
        </is>
      </c>
      <c r="H73" s="30" t="inlineStr">
        <is>
          <t>10</t>
        </is>
      </c>
      <c r="I73" s="30" t="inlineStr">
        <is>
          <t>Créé</t>
        </is>
      </c>
      <c r="J73" s="30" t="inlineStr">
        <is>
          <t>BROUILLON</t>
        </is>
      </c>
      <c r="K73" s="29" t="inlineStr">
        <is>
          <t>DGS-CLI-022-Lettre-Resiliation-Contrat.docx</t>
        </is>
      </c>
    </row>
    <row r="74" ht="23.85" customHeight="1" s="23">
      <c r="A74" s="28" t="inlineStr">
        <is>
          <t>DGS-CLI-023</t>
        </is>
      </c>
      <c r="B74" s="29" t="inlineStr">
        <is>
          <t>Réponse à une réclamation client</t>
        </is>
      </c>
      <c r="C74" s="29" t="inlineStr">
        <is>
          <t>Client — Correspondance</t>
        </is>
      </c>
      <c r="D74" s="29" t="inlineStr">
        <is>
          <t>Répondre par écrit à une réclamation du client</t>
        </is>
      </c>
      <c r="E74" s="29" t="inlineStr">
        <is>
          <t>DGS</t>
        </is>
      </c>
      <c r="F74" s="30" t="inlineStr">
        <is>
          <t>V1.0</t>
        </is>
      </c>
      <c r="G74" s="29" t="inlineStr">
        <is>
          <t>02_CLIENTS/SAV</t>
        </is>
      </c>
      <c r="H74" s="30" t="inlineStr">
        <is>
          <t>10</t>
        </is>
      </c>
      <c r="I74" s="30" t="inlineStr">
        <is>
          <t>Créé</t>
        </is>
      </c>
      <c r="J74" s="30" t="inlineStr">
        <is>
          <t>BROUILLON</t>
        </is>
      </c>
      <c r="K74" s="29" t="inlineStr">
        <is>
          <t>DGS-CLI-023-Reponse-Une-Reclamation-Client.docx</t>
        </is>
      </c>
    </row>
    <row r="75" ht="23.85" customHeight="1" s="23">
      <c r="A75" s="28" t="inlineStr">
        <is>
          <t>DGS-CLI-024</t>
        </is>
      </c>
      <c r="B75" s="29" t="inlineStr">
        <is>
          <t>Enquête de satisfaction client</t>
        </is>
      </c>
      <c r="C75" s="29" t="inlineStr">
        <is>
          <t>Client — Correspondance</t>
        </is>
      </c>
      <c r="D75" s="29" t="inlineStr">
        <is>
          <t>Recueillir l’appréciation du client à la fin du projet</t>
        </is>
      </c>
      <c r="E75" s="29" t="inlineStr">
        <is>
          <t>Client (facultatif)</t>
        </is>
      </c>
      <c r="F75" s="30" t="inlineStr">
        <is>
          <t>V1.0</t>
        </is>
      </c>
      <c r="G75" s="29" t="inlineStr">
        <is>
          <t>02_CLIENTS/SAV</t>
        </is>
      </c>
      <c r="H75" s="30" t="inlineStr">
        <is>
          <t>10</t>
        </is>
      </c>
      <c r="I75" s="30" t="inlineStr">
        <is>
          <t>Créé</t>
        </is>
      </c>
      <c r="J75" s="30" t="inlineStr">
        <is>
          <t>BROUILLON</t>
        </is>
      </c>
      <c r="K75" s="29" t="inlineStr">
        <is>
          <t>DGS-CLI-024-Enquete-Satisfaction-Client.docx</t>
        </is>
      </c>
    </row>
    <row r="76" ht="23.85" customHeight="1" s="23">
      <c r="A76" s="28" t="inlineStr">
        <is>
          <t>DGS-CLI-025</t>
        </is>
      </c>
      <c r="B76" s="29" t="inlineStr">
        <is>
          <t>Lettre de relance de devis</t>
        </is>
      </c>
      <c r="C76" s="29" t="inlineStr">
        <is>
          <t>Client — Correspondance</t>
        </is>
      </c>
      <c r="D76" s="29" t="inlineStr">
        <is>
          <t>Relancer un client qui n’a pas répondu à un devis ou à une offre</t>
        </is>
      </c>
      <c r="E76" s="29" t="inlineStr">
        <is>
          <t>DGS</t>
        </is>
      </c>
      <c r="F76" s="30" t="inlineStr">
        <is>
          <t>V1.0</t>
        </is>
      </c>
      <c r="G76" s="29" t="inlineStr">
        <is>
          <t>02_CLIENTS/Devis_Offres</t>
        </is>
      </c>
      <c r="H76" s="30" t="inlineStr">
        <is>
          <t>10</t>
        </is>
      </c>
      <c r="I76" s="30" t="inlineStr">
        <is>
          <t>Créé</t>
        </is>
      </c>
      <c r="J76" s="30" t="inlineStr">
        <is>
          <t>BROUILLON</t>
        </is>
      </c>
      <c r="K76" s="29" t="inlineStr">
        <is>
          <t>DGS-CLI-025-Lettre-Relance-Devis.docx</t>
        </is>
      </c>
    </row>
    <row r="77" ht="23.85" customHeight="1" s="23">
      <c r="A77" s="28" t="inlineStr">
        <is>
          <t>DGS-MAR-001</t>
        </is>
      </c>
      <c r="B77" s="29" t="inlineStr">
        <is>
          <t>Fiche de veille et décision de soumission</t>
        </is>
      </c>
      <c r="C77" s="29" t="inlineStr">
        <is>
          <t>Marchés publics</t>
        </is>
      </c>
      <c r="D77" s="29" t="inlineStr">
        <is>
          <t>Analyser un appel d’offres et décider de soumissionner ou non</t>
        </is>
      </c>
      <c r="E77" s="29" t="inlineStr">
        <is>
          <t>Chef de projet + Gérant</t>
        </is>
      </c>
      <c r="F77" s="30" t="inlineStr">
        <is>
          <t>V1.0</t>
        </is>
      </c>
      <c r="G77" s="29" t="inlineStr">
        <is>
          <t>10_MARCHES_PUBLICS/01_Veille_Et_Decision</t>
        </is>
      </c>
      <c r="H77" s="30" t="inlineStr">
        <is>
          <t>12</t>
        </is>
      </c>
      <c r="I77" s="30" t="inlineStr">
        <is>
          <t>Créé</t>
        </is>
      </c>
      <c r="J77" s="30" t="inlineStr">
        <is>
          <t>BROUILLON</t>
        </is>
      </c>
      <c r="K77" s="29" t="inlineStr">
        <is>
          <t>DGS-MAR-001-Fiche-Veille-Et-Decision-Soumission.docx</t>
        </is>
      </c>
    </row>
    <row r="78" ht="23.85" customHeight="1" s="23">
      <c r="A78" s="28" t="inlineStr">
        <is>
          <t>DGS-MAR-002</t>
        </is>
      </c>
      <c r="B78" s="29" t="inlineStr">
        <is>
          <t>Fiche de retrait du cahier des charges et calendrier</t>
        </is>
      </c>
      <c r="C78" s="29" t="inlineStr">
        <is>
          <t>Marchés publics</t>
        </is>
      </c>
      <c r="D78" s="29" t="inlineStr">
        <is>
          <t>Tracer le retrait du cahier des charges et planifier les échéances de l’appel d’offres</t>
        </is>
      </c>
      <c r="E78" s="29" t="inlineStr">
        <is>
          <t>DGS</t>
        </is>
      </c>
      <c r="F78" s="30" t="inlineStr">
        <is>
          <t>V1.0</t>
        </is>
      </c>
      <c r="G78" s="29" t="inlineStr">
        <is>
          <t>10_MARCHES_PUBLICS/01_Veille_Et_Decision</t>
        </is>
      </c>
      <c r="H78" s="30" t="inlineStr">
        <is>
          <t>12</t>
        </is>
      </c>
      <c r="I78" s="30" t="inlineStr">
        <is>
          <t>Créé</t>
        </is>
      </c>
      <c r="J78" s="30" t="inlineStr">
        <is>
          <t>BROUILLON</t>
        </is>
      </c>
      <c r="K78" s="29" t="inlineStr">
        <is>
          <t>DGS-MAR-002-Fiche-Retrait-Cahier-Charges-Et-Calendrier.docx</t>
        </is>
      </c>
    </row>
    <row r="79" ht="23.85" customHeight="1" s="23">
      <c r="A79" s="28" t="inlineStr">
        <is>
          <t>DGS-MAR-003</t>
        </is>
      </c>
      <c r="B79" s="29" t="inlineStr">
        <is>
          <t>PV de visite de site (appel d’offres)</t>
        </is>
      </c>
      <c r="C79" s="29" t="inlineStr">
        <is>
          <t>Marchés publics</t>
        </is>
      </c>
      <c r="D79" s="29" t="inlineStr">
        <is>
          <t>Consigner la visite des lieux effectuée avant la remise de l’offre</t>
        </is>
      </c>
      <c r="E79" s="29" t="inlineStr">
        <is>
          <t>DGS + Service contractant</t>
        </is>
      </c>
      <c r="F79" s="30" t="inlineStr">
        <is>
          <t>V1.0</t>
        </is>
      </c>
      <c r="G79" s="29" t="inlineStr">
        <is>
          <t>10_MARCHES_PUBLICS/02_Visite_Et_Eclaircissements</t>
        </is>
      </c>
      <c r="H79" s="30" t="inlineStr">
        <is>
          <t>12</t>
        </is>
      </c>
      <c r="I79" s="30" t="inlineStr">
        <is>
          <t>Créé</t>
        </is>
      </c>
      <c r="J79" s="30" t="inlineStr">
        <is>
          <t>BROUILLON</t>
        </is>
      </c>
      <c r="K79" s="29" t="inlineStr">
        <is>
          <t>DGS-MAR-003-PV-Visite-Site-Appel-Offres.docx</t>
        </is>
      </c>
    </row>
    <row r="80" ht="23.85" customHeight="1" s="23">
      <c r="A80" s="28" t="inlineStr">
        <is>
          <t>DGS-MAR-004</t>
        </is>
      </c>
      <c r="B80" s="29" t="inlineStr">
        <is>
          <t>Liste de contrôle du dossier de soumission</t>
        </is>
      </c>
      <c r="C80" s="29" t="inlineStr">
        <is>
          <t>Marchés publics</t>
        </is>
      </c>
      <c r="D80" s="29" t="inlineStr">
        <is>
          <t>Vérifier la conformité et la complétude des trois enveloppes avant dépôt</t>
        </is>
      </c>
      <c r="E80" s="29" t="inlineStr">
        <is>
          <t>Chef de projet + Gérant</t>
        </is>
      </c>
      <c r="F80" s="30" t="inlineStr">
        <is>
          <t>V1.0</t>
        </is>
      </c>
      <c r="G80" s="29" t="inlineStr">
        <is>
          <t>10_MARCHES_PUBLICS/10_Depot_Et_Controle</t>
        </is>
      </c>
      <c r="H80" s="30" t="inlineStr">
        <is>
          <t>12</t>
        </is>
      </c>
      <c r="I80" s="30" t="inlineStr">
        <is>
          <t>Créé</t>
        </is>
      </c>
      <c r="J80" s="30" t="inlineStr">
        <is>
          <t>BROUILLON</t>
        </is>
      </c>
      <c r="K80" s="29" t="inlineStr">
        <is>
          <t>DGS-MAR-004-Liste-Controle-Dossier-Soumission.docx</t>
        </is>
      </c>
    </row>
    <row r="81" ht="23.85" customHeight="1" s="23">
      <c r="A81" s="28" t="inlineStr">
        <is>
          <t>DGS-MAR-005</t>
        </is>
      </c>
      <c r="B81" s="29" t="inlineStr">
        <is>
          <t>Lettre de demande d’éclaircissements</t>
        </is>
      </c>
      <c r="C81" s="29" t="inlineStr">
        <is>
          <t>Marchés publics</t>
        </is>
      </c>
      <c r="D81" s="29" t="inlineStr">
        <is>
          <t>Demander au service contractant des précisions sur le cahier des charges</t>
        </is>
      </c>
      <c r="E81" s="29" t="inlineStr">
        <is>
          <t>DGS</t>
        </is>
      </c>
      <c r="F81" s="30" t="inlineStr">
        <is>
          <t>V1.0</t>
        </is>
      </c>
      <c r="G81" s="29" t="inlineStr">
        <is>
          <t>10_MARCHES_PUBLICS/02_Visite_Et_Eclaircissements</t>
        </is>
      </c>
      <c r="H81" s="30" t="inlineStr">
        <is>
          <t>12</t>
        </is>
      </c>
      <c r="I81" s="30" t="inlineStr">
        <is>
          <t>Créé</t>
        </is>
      </c>
      <c r="J81" s="30" t="inlineStr">
        <is>
          <t>BROUILLON</t>
        </is>
      </c>
      <c r="K81" s="29" t="inlineStr">
        <is>
          <t>DGS-MAR-005-Lettre-Demande-Eclaircissements.docx</t>
        </is>
      </c>
    </row>
    <row r="82" ht="23.85" customHeight="1" s="23">
      <c r="A82" s="28" t="inlineStr">
        <is>
          <t>DGS-MAR-006</t>
        </is>
      </c>
      <c r="B82" s="29" t="inlineStr">
        <is>
          <t>Tableau de suivi des soumissions</t>
        </is>
      </c>
      <c r="C82" s="29" t="inlineStr">
        <is>
          <t>Marchés publics</t>
        </is>
      </c>
      <c r="D82" s="29" t="inlineStr">
        <is>
          <t>Suivre l’ensemble des appels d’offres auxquels DGS soumissionne</t>
        </is>
      </c>
      <c r="E82" s="29" t="inlineStr">
        <is>
          <t>DGS</t>
        </is>
      </c>
      <c r="F82" s="30" t="inlineStr">
        <is>
          <t>V1.0</t>
        </is>
      </c>
      <c r="G82" s="29" t="inlineStr">
        <is>
          <t>10_MARCHES_PUBLICS/01_Veille_Et_Decision</t>
        </is>
      </c>
      <c r="H82" s="30" t="inlineStr">
        <is>
          <t>12</t>
        </is>
      </c>
      <c r="I82" s="30" t="inlineStr">
        <is>
          <t>Créé</t>
        </is>
      </c>
      <c r="J82" s="30" t="inlineStr">
        <is>
          <t>BROUILLON</t>
        </is>
      </c>
      <c r="K82" s="29" t="inlineStr">
        <is>
          <t>DGS-MAR-006-Tableau-Suivi-Soumissions.docx</t>
        </is>
      </c>
    </row>
    <row r="83" ht="23.85" customHeight="1" s="23">
      <c r="A83" s="28" t="inlineStr">
        <is>
          <t>DGS-MAR-007</t>
        </is>
      </c>
      <c r="B83" s="29" t="inlineStr">
        <is>
          <t>Lettre de recours contre le résultat de l’appel d’offres</t>
        </is>
      </c>
      <c r="C83" s="29" t="inlineStr">
        <is>
          <t>Marchés publics</t>
        </is>
      </c>
      <c r="D83" s="29" t="inlineStr">
        <is>
          <t>Contester le résultat d’une procédure auprès de l’autorité compétente [À VALIDER JURIDIQUEMENT]</t>
        </is>
      </c>
      <c r="E83" s="29" t="inlineStr">
        <is>
          <t>DGS</t>
        </is>
      </c>
      <c r="F83" s="30" t="inlineStr">
        <is>
          <t>V1.0</t>
        </is>
      </c>
      <c r="G83" s="29" t="inlineStr">
        <is>
          <t>10_MARCHES_PUBLICS/11_Resultats_Et_Recours</t>
        </is>
      </c>
      <c r="H83" s="30" t="inlineStr">
        <is>
          <t>12</t>
        </is>
      </c>
      <c r="I83" s="30" t="inlineStr">
        <is>
          <t>Créé</t>
        </is>
      </c>
      <c r="J83" s="30" t="inlineStr">
        <is>
          <t>BROUILLON</t>
        </is>
      </c>
      <c r="K83" s="29" t="inlineStr">
        <is>
          <t>DGS-MAR-007-Lettre-Recours-Contre-Resultat-Appel-Offres.docx</t>
        </is>
      </c>
    </row>
    <row r="84" ht="23.85" customHeight="1" s="23">
      <c r="A84" s="28" t="inlineStr">
        <is>
          <t>DGS-MAR-008</t>
        </is>
      </c>
      <c r="B84" s="29" t="inlineStr">
        <is>
          <t>Fiche d’analyse du cahier des charges</t>
        </is>
      </c>
      <c r="C84" s="29" t="inlineStr">
        <is>
          <t>Marchés publics</t>
        </is>
      </c>
      <c r="D84" s="29" t="inlineStr">
        <is>
          <t>Relever les conditions de participation, critères, délais, pénalités et clauses sensibles du cahier des charges</t>
        </is>
      </c>
      <c r="E84" s="29" t="inlineStr">
        <is>
          <t>Chef de projet + Gérant</t>
        </is>
      </c>
      <c r="F84" s="30" t="inlineStr">
        <is>
          <t>V1.0</t>
        </is>
      </c>
      <c r="G84" s="29" t="inlineStr">
        <is>
          <t>10_MARCHES_PUBLICS/01_Veille_Et_Decision</t>
        </is>
      </c>
      <c r="H84" s="30" t="inlineStr">
        <is>
          <t>14</t>
        </is>
      </c>
      <c r="I84" s="30" t="inlineStr">
        <is>
          <t>Créé</t>
        </is>
      </c>
      <c r="J84" s="30" t="inlineStr">
        <is>
          <t>BROUILLON</t>
        </is>
      </c>
      <c r="K84" s="29" t="inlineStr">
        <is>
          <t>DGS-MAR-008-Fiche-Analyse-Cahier-Charges.docx</t>
        </is>
      </c>
    </row>
    <row r="85" ht="23.85" customHeight="1" s="23">
      <c r="A85" s="28" t="inlineStr">
        <is>
          <t>DGS-MAR-009</t>
        </is>
      </c>
      <c r="B85" s="29" t="inlineStr">
        <is>
          <t>Lettre de demande du cahier des charges</t>
        </is>
      </c>
      <c r="C85" s="29" t="inlineStr">
        <is>
          <t>Marchés publics</t>
        </is>
      </c>
      <c r="D85" s="29" t="inlineStr">
        <is>
          <t>Demander au service contractant la remise du cahier des charges d’un appel d’offres</t>
        </is>
      </c>
      <c r="E85" s="29" t="inlineStr">
        <is>
          <t>DGS</t>
        </is>
      </c>
      <c r="F85" s="30" t="inlineStr">
        <is>
          <t>V1.0</t>
        </is>
      </c>
      <c r="G85" s="29" t="inlineStr">
        <is>
          <t>10_MARCHES_PUBLICS/01_Veille_Et_Decision</t>
        </is>
      </c>
      <c r="H85" s="30" t="inlineStr">
        <is>
          <t>14</t>
        </is>
      </c>
      <c r="I85" s="30" t="inlineStr">
        <is>
          <t>Créé</t>
        </is>
      </c>
      <c r="J85" s="30" t="inlineStr">
        <is>
          <t>BROUILLON</t>
        </is>
      </c>
      <c r="K85" s="29" t="inlineStr">
        <is>
          <t>DGS-MAR-009-Lettre-Demande-Cahier-Charges.docx</t>
        </is>
      </c>
    </row>
    <row r="86" ht="23.85" customHeight="1" s="23">
      <c r="A86" s="28" t="inlineStr">
        <is>
          <t>DGS-MAR-010</t>
        </is>
      </c>
      <c r="B86" s="29" t="inlineStr">
        <is>
          <t>Déclaration de candidature</t>
        </is>
      </c>
      <c r="C86" s="29" t="inlineStr">
        <is>
          <t>Marchés publics</t>
        </is>
      </c>
      <c r="D86" s="29" t="inlineStr">
        <is>
          <t>Déclarer la candidature de DGS et les renseignements d’identification exigés</t>
        </is>
      </c>
      <c r="E86" s="29" t="inlineStr">
        <is>
          <t>Soumissionnaire</t>
        </is>
      </c>
      <c r="F86" s="30" t="inlineStr">
        <is>
          <t>V1.0</t>
        </is>
      </c>
      <c r="G86" s="29" t="inlineStr">
        <is>
          <t>10_MARCHES_PUBLICS/03_Candidature_Declarations</t>
        </is>
      </c>
      <c r="H86" s="30" t="inlineStr">
        <is>
          <t>12</t>
        </is>
      </c>
      <c r="I86" s="30" t="inlineStr">
        <is>
          <t>Créé</t>
        </is>
      </c>
      <c r="J86" s="30" t="inlineStr">
        <is>
          <t>BROUILLON</t>
        </is>
      </c>
      <c r="K86" s="29" t="inlineStr">
        <is>
          <t>DGS-MAR-010-Declaration-Candidature.docx</t>
        </is>
      </c>
    </row>
    <row r="87" ht="23.85" customHeight="1" s="23">
      <c r="A87" s="28" t="inlineStr">
        <is>
          <t>DGS-MAR-011</t>
        </is>
      </c>
      <c r="B87" s="29" t="inlineStr">
        <is>
          <t>Déclaration de probité</t>
        </is>
      </c>
      <c r="C87" s="29" t="inlineStr">
        <is>
          <t>Marchés publics</t>
        </is>
      </c>
      <c r="D87" s="29" t="inlineStr">
        <is>
          <t>Engager le soumissionnaire à respecter la probité dans la procédure</t>
        </is>
      </c>
      <c r="E87" s="29" t="inlineStr">
        <is>
          <t>Soumissionnaire</t>
        </is>
      </c>
      <c r="F87" s="30" t="inlineStr">
        <is>
          <t>V1.0</t>
        </is>
      </c>
      <c r="G87" s="29" t="inlineStr">
        <is>
          <t>10_MARCHES_PUBLICS/03_Candidature_Declarations</t>
        </is>
      </c>
      <c r="H87" s="30" t="inlineStr">
        <is>
          <t>12</t>
        </is>
      </c>
      <c r="I87" s="30" t="inlineStr">
        <is>
          <t>Créé</t>
        </is>
      </c>
      <c r="J87" s="30" t="inlineStr">
        <is>
          <t>BROUILLON</t>
        </is>
      </c>
      <c r="K87" s="29" t="inlineStr">
        <is>
          <t>DGS-MAR-011-Declaration-Probite.docx</t>
        </is>
      </c>
    </row>
    <row r="88" ht="23.85" customHeight="1" s="23">
      <c r="A88" s="28" t="inlineStr">
        <is>
          <t>DGS-MAR-012</t>
        </is>
      </c>
      <c r="B88" s="29" t="inlineStr">
        <is>
          <t>Déclaration du sous-traitant</t>
        </is>
      </c>
      <c r="C88" s="29" t="inlineStr">
        <is>
          <t>Marchés publics</t>
        </is>
      </c>
      <c r="D88" s="29" t="inlineStr">
        <is>
          <t>Déclarer les prestations sous-traitées et le sous-traitant retenu</t>
        </is>
      </c>
      <c r="E88" s="29" t="inlineStr">
        <is>
          <t>Soumissionnaire + Sous-traitant</t>
        </is>
      </c>
      <c r="F88" s="30" t="inlineStr">
        <is>
          <t>V1.0</t>
        </is>
      </c>
      <c r="G88" s="29" t="inlineStr">
        <is>
          <t>10_MARCHES_PUBLICS/04_Candidature_Pouvoirs_Groupement</t>
        </is>
      </c>
      <c r="H88" s="30" t="inlineStr">
        <is>
          <t>12</t>
        </is>
      </c>
      <c r="I88" s="30" t="inlineStr">
        <is>
          <t>Créé</t>
        </is>
      </c>
      <c r="J88" s="30" t="inlineStr">
        <is>
          <t>BROUILLON</t>
        </is>
      </c>
      <c r="K88" s="29" t="inlineStr">
        <is>
          <t>DGS-MAR-012-Declaration-Sous-Traitant.docx</t>
        </is>
      </c>
    </row>
    <row r="89" ht="23.85" customHeight="1" s="23">
      <c r="A89" s="28" t="inlineStr">
        <is>
          <t>DGS-MAR-013</t>
        </is>
      </c>
      <c r="B89" s="29" t="inlineStr">
        <is>
          <t>Accord de groupement momentané d’entreprises</t>
        </is>
      </c>
      <c r="C89" s="29" t="inlineStr">
        <is>
          <t>Marchés publics</t>
        </is>
      </c>
      <c r="D89" s="29" t="inlineStr">
        <is>
          <t>Constituer un groupement d’entreprises pour répondre à un appel d’offres [À VALIDER JURIDIQUEMENT]</t>
        </is>
      </c>
      <c r="E89" s="29" t="inlineStr">
        <is>
          <t>Membres du groupement</t>
        </is>
      </c>
      <c r="F89" s="30" t="inlineStr">
        <is>
          <t>V1.0</t>
        </is>
      </c>
      <c r="G89" s="29" t="inlineStr">
        <is>
          <t>10_MARCHES_PUBLICS/04_Candidature_Pouvoirs_Groupement</t>
        </is>
      </c>
      <c r="H89" s="30" t="inlineStr">
        <is>
          <t>12</t>
        </is>
      </c>
      <c r="I89" s="30" t="inlineStr">
        <is>
          <t>Créé</t>
        </is>
      </c>
      <c r="J89" s="30" t="inlineStr">
        <is>
          <t>BROUILLON</t>
        </is>
      </c>
      <c r="K89" s="29" t="inlineStr">
        <is>
          <t>DGS-MAR-013-Accord-Groupement-Momentane-Entreprises.docx</t>
        </is>
      </c>
    </row>
    <row r="90" ht="23.85" customHeight="1" s="23">
      <c r="A90" s="28" t="inlineStr">
        <is>
          <t>DGS-MAR-014</t>
        </is>
      </c>
      <c r="B90" s="29" t="inlineStr">
        <is>
          <t>Procuration pour dépôt et signature de l’offre</t>
        </is>
      </c>
      <c r="C90" s="29" t="inlineStr">
        <is>
          <t>Marchés publics</t>
        </is>
      </c>
      <c r="D90" s="29" t="inlineStr">
        <is>
          <t>Habiliter une personne à retirer, signer et déposer l’offre pour DGS</t>
        </is>
      </c>
      <c r="E90" s="29" t="inlineStr">
        <is>
          <t>Gérant + Mandataire</t>
        </is>
      </c>
      <c r="F90" s="30" t="inlineStr">
        <is>
          <t>V1.0</t>
        </is>
      </c>
      <c r="G90" s="29" t="inlineStr">
        <is>
          <t>10_MARCHES_PUBLICS/04_Candidature_Pouvoirs_Groupement</t>
        </is>
      </c>
      <c r="H90" s="30" t="inlineStr">
        <is>
          <t>12</t>
        </is>
      </c>
      <c r="I90" s="30" t="inlineStr">
        <is>
          <t>Créé</t>
        </is>
      </c>
      <c r="J90" s="30" t="inlineStr">
        <is>
          <t>BROUILLON</t>
        </is>
      </c>
      <c r="K90" s="29" t="inlineStr">
        <is>
          <t>DGS-MAR-014-Procuration-Pour-Depot-Et-Signature-Offre.docx</t>
        </is>
      </c>
    </row>
    <row r="91" ht="23.85" customHeight="1" s="23">
      <c r="A91" s="28" t="inlineStr">
        <is>
          <t>DGS-MAR-015</t>
        </is>
      </c>
      <c r="B91" s="29" t="inlineStr">
        <is>
          <t>Fiche de renseignements du soumissionnaire</t>
        </is>
      </c>
      <c r="C91" s="29" t="inlineStr">
        <is>
          <t>Marchés publics</t>
        </is>
      </c>
      <c r="D91" s="29" t="inlineStr">
        <is>
          <t>Présenter l’identité, les moyens et les qualifications de DGS</t>
        </is>
      </c>
      <c r="E91" s="29" t="inlineStr">
        <is>
          <t>Gérant</t>
        </is>
      </c>
      <c r="F91" s="30" t="inlineStr">
        <is>
          <t>V1.0</t>
        </is>
      </c>
      <c r="G91" s="29" t="inlineStr">
        <is>
          <t>10_MARCHES_PUBLICS/05_Candidature_Capacites</t>
        </is>
      </c>
      <c r="H91" s="30" t="inlineStr">
        <is>
          <t>12</t>
        </is>
      </c>
      <c r="I91" s="30" t="inlineStr">
        <is>
          <t>Créé</t>
        </is>
      </c>
      <c r="J91" s="30" t="inlineStr">
        <is>
          <t>BROUILLON</t>
        </is>
      </c>
      <c r="K91" s="29" t="inlineStr">
        <is>
          <t>DGS-MAR-015-Fiche-Renseignements-Soumissionnaire.docx</t>
        </is>
      </c>
    </row>
    <row r="92" ht="23.85" customHeight="1" s="23">
      <c r="A92" s="28" t="inlineStr">
        <is>
          <t>DGS-MAR-016</t>
        </is>
      </c>
      <c r="B92" s="29" t="inlineStr">
        <is>
          <t>Déclaration sur l’honneur fiscale, parafiscale et sociale</t>
        </is>
      </c>
      <c r="C92" s="29" t="inlineStr">
        <is>
          <t>Marchés publics</t>
        </is>
      </c>
      <c r="D92" s="29" t="inlineStr">
        <is>
          <t>Déclarer la situation de DGS et lister les attestations à produire en cas d’attribution</t>
        </is>
      </c>
      <c r="E92" s="29" t="inlineStr">
        <is>
          <t>Gérant</t>
        </is>
      </c>
      <c r="F92" s="30" t="inlineStr">
        <is>
          <t>V1.0</t>
        </is>
      </c>
      <c r="G92" s="29" t="inlineStr">
        <is>
          <t>10_MARCHES_PUBLICS/03_Candidature_Declarations</t>
        </is>
      </c>
      <c r="H92" s="30" t="inlineStr">
        <is>
          <t>12</t>
        </is>
      </c>
      <c r="I92" s="30" t="inlineStr">
        <is>
          <t>Créé</t>
        </is>
      </c>
      <c r="J92" s="30" t="inlineStr">
        <is>
          <t>BROUILLON</t>
        </is>
      </c>
      <c r="K92" s="29" t="inlineStr">
        <is>
          <t>DGS-MAR-016-Declaration-Sur-Honneur-Fiscale-Parafiscale-Et-Sociale.docx</t>
        </is>
      </c>
    </row>
    <row r="93" ht="23.85" customHeight="1" s="23">
      <c r="A93" s="28" t="inlineStr">
        <is>
          <t>DGS-MAR-017</t>
        </is>
      </c>
      <c r="B93" s="29" t="inlineStr">
        <is>
          <t>Fiche des références professionnelles</t>
        </is>
      </c>
      <c r="C93" s="29" t="inlineStr">
        <is>
          <t>Marchés publics</t>
        </is>
      </c>
      <c r="D93" s="29" t="inlineStr">
        <is>
          <t>Lister les marchés et travaux similaires exécutés par DGS</t>
        </is>
      </c>
      <c r="E93" s="29" t="inlineStr">
        <is>
          <t>Gérant</t>
        </is>
      </c>
      <c r="F93" s="30" t="inlineStr">
        <is>
          <t>V1.0</t>
        </is>
      </c>
      <c r="G93" s="29" t="inlineStr">
        <is>
          <t>10_MARCHES_PUBLICS/05_Candidature_Capacites</t>
        </is>
      </c>
      <c r="H93" s="30" t="inlineStr">
        <is>
          <t>12</t>
        </is>
      </c>
      <c r="I93" s="30" t="inlineStr">
        <is>
          <t>Créé</t>
        </is>
      </c>
      <c r="J93" s="30" t="inlineStr">
        <is>
          <t>BROUILLON</t>
        </is>
      </c>
      <c r="K93" s="29" t="inlineStr">
        <is>
          <t>DGS-MAR-017-Fiche-References-Professionnelles.docx</t>
        </is>
      </c>
    </row>
    <row r="94" ht="23.85" customHeight="1" s="23">
      <c r="A94" s="28" t="inlineStr">
        <is>
          <t>DGS-MAR-018</t>
        </is>
      </c>
      <c r="B94" s="29" t="inlineStr">
        <is>
          <t>Demande d’attestation de bonne exécution</t>
        </is>
      </c>
      <c r="C94" s="29" t="inlineStr">
        <is>
          <t>Marchés publics</t>
        </is>
      </c>
      <c r="D94" s="29" t="inlineStr">
        <is>
          <t>Demander à un maître d’ouvrage une attestation de bonne exécution</t>
        </is>
      </c>
      <c r="E94" s="29" t="inlineStr">
        <is>
          <t>DGS</t>
        </is>
      </c>
      <c r="F94" s="30" t="inlineStr">
        <is>
          <t>V1.0</t>
        </is>
      </c>
      <c r="G94" s="29" t="inlineStr">
        <is>
          <t>10_MARCHES_PUBLICS/05_Candidature_Capacites</t>
        </is>
      </c>
      <c r="H94" s="30" t="inlineStr">
        <is>
          <t>12</t>
        </is>
      </c>
      <c r="I94" s="30" t="inlineStr">
        <is>
          <t>Créé</t>
        </is>
      </c>
      <c r="J94" s="30" t="inlineStr">
        <is>
          <t>BROUILLON</t>
        </is>
      </c>
      <c r="K94" s="29" t="inlineStr">
        <is>
          <t>DGS-MAR-018-Demande-Attestation-Bonne-Execution.docx</t>
        </is>
      </c>
    </row>
    <row r="95" ht="23.85" customHeight="1" s="23">
      <c r="A95" s="28" t="inlineStr">
        <is>
          <t>DGS-MAR-019</t>
        </is>
      </c>
      <c r="B95" s="29" t="inlineStr">
        <is>
          <t>Fiche des moyens humains</t>
        </is>
      </c>
      <c r="C95" s="29" t="inlineStr">
        <is>
          <t>Marchés publics</t>
        </is>
      </c>
      <c r="D95" s="29" t="inlineStr">
        <is>
          <t>Présenter le personnel d’encadrement et d’exécution proposé pour le marché</t>
        </is>
      </c>
      <c r="E95" s="29" t="inlineStr">
        <is>
          <t>Gérant</t>
        </is>
      </c>
      <c r="F95" s="30" t="inlineStr">
        <is>
          <t>V1.0</t>
        </is>
      </c>
      <c r="G95" s="29" t="inlineStr">
        <is>
          <t>10_MARCHES_PUBLICS/05_Candidature_Capacites</t>
        </is>
      </c>
      <c r="H95" s="30" t="inlineStr">
        <is>
          <t>12</t>
        </is>
      </c>
      <c r="I95" s="30" t="inlineStr">
        <is>
          <t>Créé</t>
        </is>
      </c>
      <c r="J95" s="30" t="inlineStr">
        <is>
          <t>BROUILLON</t>
        </is>
      </c>
      <c r="K95" s="29" t="inlineStr">
        <is>
          <t>DGS-MAR-019-Fiche-Moyens-Humains.docx</t>
        </is>
      </c>
    </row>
    <row r="96" ht="23.85" customHeight="1" s="23">
      <c r="A96" s="28" t="inlineStr">
        <is>
          <t>DGS-MAR-020</t>
        </is>
      </c>
      <c r="B96" s="29" t="inlineStr">
        <is>
          <t>Curriculum vitae du personnel d’encadrement</t>
        </is>
      </c>
      <c r="C96" s="29" t="inlineStr">
        <is>
          <t>Marchés publics</t>
        </is>
      </c>
      <c r="D96" s="29" t="inlineStr">
        <is>
          <t>Présenter le parcours d’un membre de l’équipe proposée</t>
        </is>
      </c>
      <c r="E96" s="29" t="inlineStr">
        <is>
          <t>Intéressé + DGS</t>
        </is>
      </c>
      <c r="F96" s="30" t="inlineStr">
        <is>
          <t>V1.0</t>
        </is>
      </c>
      <c r="G96" s="29" t="inlineStr">
        <is>
          <t>10_MARCHES_PUBLICS/05_Candidature_Capacites</t>
        </is>
      </c>
      <c r="H96" s="30" t="inlineStr">
        <is>
          <t>12</t>
        </is>
      </c>
      <c r="I96" s="30" t="inlineStr">
        <is>
          <t>Créé</t>
        </is>
      </c>
      <c r="J96" s="30" t="inlineStr">
        <is>
          <t>BROUILLON</t>
        </is>
      </c>
      <c r="K96" s="29" t="inlineStr">
        <is>
          <t>DGS-MAR-020-Curriculum-Vitae-Personnel-Encadrement.docx</t>
        </is>
      </c>
    </row>
    <row r="97" ht="23.85" customHeight="1" s="23">
      <c r="A97" s="28" t="inlineStr">
        <is>
          <t>DGS-MAR-021</t>
        </is>
      </c>
      <c r="B97" s="29" t="inlineStr">
        <is>
          <t>Fiche des moyens matériels</t>
        </is>
      </c>
      <c r="C97" s="29" t="inlineStr">
        <is>
          <t>Marchés publics</t>
        </is>
      </c>
      <c r="D97" s="29" t="inlineStr">
        <is>
          <t>Lister les engins et équipements affectés au marché</t>
        </is>
      </c>
      <c r="E97" s="29" t="inlineStr">
        <is>
          <t>Gérant</t>
        </is>
      </c>
      <c r="F97" s="30" t="inlineStr">
        <is>
          <t>V1.0</t>
        </is>
      </c>
      <c r="G97" s="29" t="inlineStr">
        <is>
          <t>10_MARCHES_PUBLICS/05_Candidature_Capacites</t>
        </is>
      </c>
      <c r="H97" s="30" t="inlineStr">
        <is>
          <t>12</t>
        </is>
      </c>
      <c r="I97" s="30" t="inlineStr">
        <is>
          <t>Créé</t>
        </is>
      </c>
      <c r="J97" s="30" t="inlineStr">
        <is>
          <t>BROUILLON</t>
        </is>
      </c>
      <c r="K97" s="29" t="inlineStr">
        <is>
          <t>DGS-MAR-021-Fiche-Moyens-Materiels.docx</t>
        </is>
      </c>
    </row>
    <row r="98" ht="23.85" customHeight="1" s="23">
      <c r="A98" s="28" t="inlineStr">
        <is>
          <t>DGS-MAR-022</t>
        </is>
      </c>
      <c r="B98" s="29" t="inlineStr">
        <is>
          <t>Fiche de situation financière</t>
        </is>
      </c>
      <c r="C98" s="29" t="inlineStr">
        <is>
          <t>Marchés publics</t>
        </is>
      </c>
      <c r="D98" s="29" t="inlineStr">
        <is>
          <t>Présenter le chiffre d’affaires et les bilans des dernières années</t>
        </is>
      </c>
      <c r="E98" s="29" t="inlineStr">
        <is>
          <t>Gérant</t>
        </is>
      </c>
      <c r="F98" s="30" t="inlineStr">
        <is>
          <t>V1.0</t>
        </is>
      </c>
      <c r="G98" s="29" t="inlineStr">
        <is>
          <t>10_MARCHES_PUBLICS/05_Candidature_Capacites</t>
        </is>
      </c>
      <c r="H98" s="30" t="inlineStr">
        <is>
          <t>12</t>
        </is>
      </c>
      <c r="I98" s="30" t="inlineStr">
        <is>
          <t>Créé</t>
        </is>
      </c>
      <c r="J98" s="30" t="inlineStr">
        <is>
          <t>BROUILLON</t>
        </is>
      </c>
      <c r="K98" s="29" t="inlineStr">
        <is>
          <t>DGS-MAR-022-Fiche-Situation-Financiere.docx</t>
        </is>
      </c>
    </row>
    <row r="99" ht="23.85" customHeight="1" s="23">
      <c r="A99" s="28" t="inlineStr">
        <is>
          <t>DGS-MAR-023</t>
        </is>
      </c>
      <c r="B99" s="29" t="inlineStr">
        <is>
          <t>Plan de charges de l’entreprise</t>
        </is>
      </c>
      <c r="C99" s="29" t="inlineStr">
        <is>
          <t>Marchés publics</t>
        </is>
      </c>
      <c r="D99" s="29" t="inlineStr">
        <is>
          <t>Présenter les projets en cours de DGS et sa capacité à en prendre de nouveaux</t>
        </is>
      </c>
      <c r="E99" s="29" t="inlineStr">
        <is>
          <t>Gérant</t>
        </is>
      </c>
      <c r="F99" s="30" t="inlineStr">
        <is>
          <t>V1.0</t>
        </is>
      </c>
      <c r="G99" s="29" t="inlineStr">
        <is>
          <t>10_MARCHES_PUBLICS/05_Candidature_Capacites</t>
        </is>
      </c>
      <c r="H99" s="30" t="inlineStr">
        <is>
          <t>12</t>
        </is>
      </c>
      <c r="I99" s="30" t="inlineStr">
        <is>
          <t>Créé</t>
        </is>
      </c>
      <c r="J99" s="30" t="inlineStr">
        <is>
          <t>BROUILLON</t>
        </is>
      </c>
      <c r="K99" s="29" t="inlineStr">
        <is>
          <t>DGS-MAR-023-Plan-Charges-Entreprise.docx</t>
        </is>
      </c>
    </row>
    <row r="100" ht="23.85" customHeight="1" s="23">
      <c r="A100" s="28" t="inlineStr">
        <is>
          <t>DGS-MAR-024</t>
        </is>
      </c>
      <c r="B100" s="29" t="inlineStr">
        <is>
          <t>Déclaration de non-exclusion des marchés publics</t>
        </is>
      </c>
      <c r="C100" s="29" t="inlineStr">
        <is>
          <t>Marchés publics</t>
        </is>
      </c>
      <c r="D100" s="29" t="inlineStr">
        <is>
          <t>Déclarer que DGS n’est exclu ni interdit de participer aux marchés publics</t>
        </is>
      </c>
      <c r="E100" s="29" t="inlineStr">
        <is>
          <t>Gérant</t>
        </is>
      </c>
      <c r="F100" s="30" t="inlineStr">
        <is>
          <t>V1.0</t>
        </is>
      </c>
      <c r="G100" s="29" t="inlineStr">
        <is>
          <t>10_MARCHES_PUBLICS/03_Candidature_Declarations</t>
        </is>
      </c>
      <c r="H100" s="30" t="inlineStr">
        <is>
          <t>14</t>
        </is>
      </c>
      <c r="I100" s="30" t="inlineStr">
        <is>
          <t>Créé</t>
        </is>
      </c>
      <c r="J100" s="30" t="inlineStr">
        <is>
          <t>BROUILLON</t>
        </is>
      </c>
      <c r="K100" s="29" t="inlineStr">
        <is>
          <t>DGS-MAR-024-Declaration-Non-Exclusion-Marches-Publics.docx</t>
        </is>
      </c>
    </row>
    <row r="101" ht="23.85" customHeight="1" s="23">
      <c r="A101" s="28" t="inlineStr">
        <is>
          <t>DGS-MAR-025</t>
        </is>
      </c>
      <c r="B101" s="29" t="inlineStr">
        <is>
          <t>Déclaration d’absence de conflit d’intérêts</t>
        </is>
      </c>
      <c r="C101" s="29" t="inlineStr">
        <is>
          <t>Marchés publics</t>
        </is>
      </c>
      <c r="D101" s="29" t="inlineStr">
        <is>
          <t>Déclarer l’absence de lien d’intérêt entre DGS et les agents du service contractant</t>
        </is>
      </c>
      <c r="E101" s="29" t="inlineStr">
        <is>
          <t>Gérant</t>
        </is>
      </c>
      <c r="F101" s="30" t="inlineStr">
        <is>
          <t>V1.0</t>
        </is>
      </c>
      <c r="G101" s="29" t="inlineStr">
        <is>
          <t>10_MARCHES_PUBLICS/03_Candidature_Declarations</t>
        </is>
      </c>
      <c r="H101" s="30" t="inlineStr">
        <is>
          <t>14</t>
        </is>
      </c>
      <c r="I101" s="30" t="inlineStr">
        <is>
          <t>Créé</t>
        </is>
      </c>
      <c r="J101" s="30" t="inlineStr">
        <is>
          <t>BROUILLON</t>
        </is>
      </c>
      <c r="K101" s="29" t="inlineStr">
        <is>
          <t>DGS-MAR-025-Declaration-Absence-Conflit-Interets.docx</t>
        </is>
      </c>
    </row>
    <row r="102" ht="23.85" customHeight="1" s="23">
      <c r="A102" s="28" t="inlineStr">
        <is>
          <t>DGS-MAR-026</t>
        </is>
      </c>
      <c r="B102" s="29" t="inlineStr">
        <is>
          <t>Déclaration de préférence nationale</t>
        </is>
      </c>
      <c r="C102" s="29" t="inlineStr">
        <is>
          <t>Marchés publics</t>
        </is>
      </c>
      <c r="D102" s="29" t="inlineStr">
        <is>
          <t>Revendiquer le bénéfice de la marge de préférence accordée aux entreprises et produits d’origine algérienne</t>
        </is>
      </c>
      <c r="E102" s="29" t="inlineStr">
        <is>
          <t>Gérant</t>
        </is>
      </c>
      <c r="F102" s="30" t="inlineStr">
        <is>
          <t>V1.0</t>
        </is>
      </c>
      <c r="G102" s="29" t="inlineStr">
        <is>
          <t>10_MARCHES_PUBLICS/03_Candidature_Declarations</t>
        </is>
      </c>
      <c r="H102" s="30" t="inlineStr">
        <is>
          <t>14</t>
        </is>
      </c>
      <c r="I102" s="30" t="inlineStr">
        <is>
          <t>Créé</t>
        </is>
      </c>
      <c r="J102" s="30" t="inlineStr">
        <is>
          <t>BROUILLON</t>
        </is>
      </c>
      <c r="K102" s="29" t="inlineStr">
        <is>
          <t>DGS-MAR-026-Declaration-Preference-Nationale.docx</t>
        </is>
      </c>
    </row>
    <row r="103" ht="23.85" customHeight="1" s="23">
      <c r="A103" s="28" t="inlineStr">
        <is>
          <t>DGS-MAR-027</t>
        </is>
      </c>
      <c r="B103" s="29" t="inlineStr">
        <is>
          <t>Fiche de qualification et de classification professionnelle</t>
        </is>
      </c>
      <c r="C103" s="29" t="inlineStr">
        <is>
          <t>Marchés publics</t>
        </is>
      </c>
      <c r="D103" s="29" t="inlineStr">
        <is>
          <t>Présenter le certificat de qualification et de classification professionnelle de DGS et son adéquation avec l’appel d’offres</t>
        </is>
      </c>
      <c r="E103" s="29" t="inlineStr">
        <is>
          <t>Gérant</t>
        </is>
      </c>
      <c r="F103" s="30" t="inlineStr">
        <is>
          <t>V1.0</t>
        </is>
      </c>
      <c r="G103" s="29" t="inlineStr">
        <is>
          <t>10_MARCHES_PUBLICS/05_Candidature_Capacites</t>
        </is>
      </c>
      <c r="H103" s="30" t="inlineStr">
        <is>
          <t>14</t>
        </is>
      </c>
      <c r="I103" s="30" t="inlineStr">
        <is>
          <t>Créé</t>
        </is>
      </c>
      <c r="J103" s="30" t="inlineStr">
        <is>
          <t>BROUILLON</t>
        </is>
      </c>
      <c r="K103" s="29" t="inlineStr">
        <is>
          <t>DGS-MAR-027-Fiche-Qualification-Classification-Professionnelle.docx</t>
        </is>
      </c>
    </row>
    <row r="104" ht="23.85" customHeight="1" s="23">
      <c r="A104" s="28" t="inlineStr">
        <is>
          <t>DGS-MAR-028</t>
        </is>
      </c>
      <c r="B104" s="29" t="inlineStr">
        <is>
          <t>Fiche des assurances de l’entreprise</t>
        </is>
      </c>
      <c r="C104" s="29" t="inlineStr">
        <is>
          <t>Marchés publics</t>
        </is>
      </c>
      <c r="D104" s="29" t="inlineStr">
        <is>
          <t>Lister les polices d’assurance de DGS (responsabilité civile, tous risques chantier, matériel) avec leur validité</t>
        </is>
      </c>
      <c r="E104" s="29" t="inlineStr">
        <is>
          <t>Gérant</t>
        </is>
      </c>
      <c r="F104" s="30" t="inlineStr">
        <is>
          <t>V1.0</t>
        </is>
      </c>
      <c r="G104" s="29" t="inlineStr">
        <is>
          <t>10_MARCHES_PUBLICS/05_Candidature_Capacites</t>
        </is>
      </c>
      <c r="H104" s="30" t="inlineStr">
        <is>
          <t>14</t>
        </is>
      </c>
      <c r="I104" s="30" t="inlineStr">
        <is>
          <t>Créé</t>
        </is>
      </c>
      <c r="J104" s="30" t="inlineStr">
        <is>
          <t>BROUILLON</t>
        </is>
      </c>
      <c r="K104" s="29" t="inlineStr">
        <is>
          <t>DGS-MAR-028-Fiche-Assurances-Entreprise.docx</t>
        </is>
      </c>
    </row>
    <row r="105" ht="23.85" customHeight="1" s="23">
      <c r="A105" s="28" t="inlineStr">
        <is>
          <t>DGS-MAR-029</t>
        </is>
      </c>
      <c r="B105" s="29" t="inlineStr">
        <is>
          <t>Fiche détaillée de référence (par marché)</t>
        </is>
      </c>
      <c r="C105" s="29" t="inlineStr">
        <is>
          <t>Marchés publics</t>
        </is>
      </c>
      <c r="D105" s="29" t="inlineStr">
        <is>
          <t>Décrire en détail un marché ou un chantier similaire exécuté, à joindre à la liste des références</t>
        </is>
      </c>
      <c r="E105" s="29" t="inlineStr">
        <is>
          <t>Gérant</t>
        </is>
      </c>
      <c r="F105" s="30" t="inlineStr">
        <is>
          <t>V1.0</t>
        </is>
      </c>
      <c r="G105" s="29" t="inlineStr">
        <is>
          <t>10_MARCHES_PUBLICS/05_Candidature_Capacites</t>
        </is>
      </c>
      <c r="H105" s="30" t="inlineStr">
        <is>
          <t>14</t>
        </is>
      </c>
      <c r="I105" s="30" t="inlineStr">
        <is>
          <t>Créé</t>
        </is>
      </c>
      <c r="J105" s="30" t="inlineStr">
        <is>
          <t>BROUILLON</t>
        </is>
      </c>
      <c r="K105" s="29" t="inlineStr">
        <is>
          <t>DGS-MAR-029-Fiche-Detaillee-Reference-Marche.docx</t>
        </is>
      </c>
    </row>
    <row r="106" ht="23.85" customHeight="1" s="23">
      <c r="A106" s="28" t="inlineStr">
        <is>
          <t>DGS-MAR-030</t>
        </is>
      </c>
      <c r="B106" s="29" t="inlineStr">
        <is>
          <t>Déclaration à souscrire</t>
        </is>
      </c>
      <c r="C106" s="29" t="inlineStr">
        <is>
          <t>Marchés publics</t>
        </is>
      </c>
      <c r="D106" s="29" t="inlineStr">
        <is>
          <t>Engager le soumissionnaire à respecter le cahier des charges et ses déclarations</t>
        </is>
      </c>
      <c r="E106" s="29" t="inlineStr">
        <is>
          <t>Soumissionnaire</t>
        </is>
      </c>
      <c r="F106" s="30" t="inlineStr">
        <is>
          <t>V1.0</t>
        </is>
      </c>
      <c r="G106" s="29" t="inlineStr">
        <is>
          <t>10_MARCHES_PUBLICS/07_Offre_Technique</t>
        </is>
      </c>
      <c r="H106" s="30" t="inlineStr">
        <is>
          <t>12</t>
        </is>
      </c>
      <c r="I106" s="30" t="inlineStr">
        <is>
          <t>Créé</t>
        </is>
      </c>
      <c r="J106" s="30" t="inlineStr">
        <is>
          <t>BROUILLON</t>
        </is>
      </c>
      <c r="K106" s="29" t="inlineStr">
        <is>
          <t>DGS-MAR-030-Declaration-Souscrire.docx</t>
        </is>
      </c>
    </row>
    <row r="107" ht="23.85" customHeight="1" s="23">
      <c r="A107" s="28" t="inlineStr">
        <is>
          <t>DGS-MAR-031</t>
        </is>
      </c>
      <c r="B107" s="29" t="inlineStr">
        <is>
          <t>Mémoire technique justificatif</t>
        </is>
      </c>
      <c r="C107" s="29" t="inlineStr">
        <is>
          <t>Marchés publics</t>
        </is>
      </c>
      <c r="D107" s="29" t="inlineStr">
        <is>
          <t>Justifier la compréhension du projet, la méthode, les moyens et le planning proposés</t>
        </is>
      </c>
      <c r="E107" s="29" t="inlineStr">
        <is>
          <t>Gérant</t>
        </is>
      </c>
      <c r="F107" s="30" t="inlineStr">
        <is>
          <t>V1.0</t>
        </is>
      </c>
      <c r="G107" s="29" t="inlineStr">
        <is>
          <t>10_MARCHES_PUBLICS/07_Offre_Technique</t>
        </is>
      </c>
      <c r="H107" s="30" t="inlineStr">
        <is>
          <t>12</t>
        </is>
      </c>
      <c r="I107" s="30" t="inlineStr">
        <is>
          <t>Créé</t>
        </is>
      </c>
      <c r="J107" s="30" t="inlineStr">
        <is>
          <t>BROUILLON</t>
        </is>
      </c>
      <c r="K107" s="29" t="inlineStr">
        <is>
          <t>DGS-MAR-031-Memoire-Technique-Justificatif.docx</t>
        </is>
      </c>
    </row>
    <row r="108" ht="23.85" customHeight="1" s="23">
      <c r="A108" s="28" t="inlineStr">
        <is>
          <t>DGS-MAR-032</t>
        </is>
      </c>
      <c r="B108" s="29" t="inlineStr">
        <is>
          <t>Planning détaillé des travaux</t>
        </is>
      </c>
      <c r="C108" s="29" t="inlineStr">
        <is>
          <t>Marchés publics</t>
        </is>
      </c>
      <c r="D108" s="29" t="inlineStr">
        <is>
          <t>Présenter le calendrier d’exécution tâche par tâche</t>
        </is>
      </c>
      <c r="E108" s="29" t="inlineStr">
        <is>
          <t>Chef de projet + Gérant</t>
        </is>
      </c>
      <c r="F108" s="30" t="inlineStr">
        <is>
          <t>V1.0</t>
        </is>
      </c>
      <c r="G108" s="29" t="inlineStr">
        <is>
          <t>10_MARCHES_PUBLICS/07_Offre_Technique</t>
        </is>
      </c>
      <c r="H108" s="30" t="inlineStr">
        <is>
          <t>12</t>
        </is>
      </c>
      <c r="I108" s="30" t="inlineStr">
        <is>
          <t>Créé</t>
        </is>
      </c>
      <c r="J108" s="30" t="inlineStr">
        <is>
          <t>BROUILLON</t>
        </is>
      </c>
      <c r="K108" s="29" t="inlineStr">
        <is>
          <t>DGS-MAR-032-Planning-Detaille-Travaux.docx</t>
        </is>
      </c>
    </row>
    <row r="109" ht="23.85" customHeight="1" s="23">
      <c r="A109" s="28" t="inlineStr">
        <is>
          <t>DGS-MAR-033</t>
        </is>
      </c>
      <c r="B109" s="29" t="inlineStr">
        <is>
          <t>Fiche d’installation de chantier</t>
        </is>
      </c>
      <c r="C109" s="29" t="inlineStr">
        <is>
          <t>Marchés publics</t>
        </is>
      </c>
      <c r="D109" s="29" t="inlineStr">
        <is>
          <t>Décrire l’organisation et l’installation du chantier proposée</t>
        </is>
      </c>
      <c r="E109" s="29" t="inlineStr">
        <is>
          <t>Chef de projet</t>
        </is>
      </c>
      <c r="F109" s="30" t="inlineStr">
        <is>
          <t>V1.0</t>
        </is>
      </c>
      <c r="G109" s="29" t="inlineStr">
        <is>
          <t>10_MARCHES_PUBLICS/07_Offre_Technique</t>
        </is>
      </c>
      <c r="H109" s="30" t="inlineStr">
        <is>
          <t>12</t>
        </is>
      </c>
      <c r="I109" s="30" t="inlineStr">
        <is>
          <t>Créé</t>
        </is>
      </c>
      <c r="J109" s="30" t="inlineStr">
        <is>
          <t>BROUILLON</t>
        </is>
      </c>
      <c r="K109" s="29" t="inlineStr">
        <is>
          <t>DGS-MAR-033-Fiche-Installation-Chantier.docx</t>
        </is>
      </c>
    </row>
    <row r="110" ht="23.85" customHeight="1" s="23">
      <c r="A110" s="28" t="inlineStr">
        <is>
          <t>DGS-MAR-034</t>
        </is>
      </c>
      <c r="B110" s="29" t="inlineStr">
        <is>
          <t>Liste des matériaux et fournitures proposés</t>
        </is>
      </c>
      <c r="C110" s="29" t="inlineStr">
        <is>
          <t>Marchés publics</t>
        </is>
      </c>
      <c r="D110" s="29" t="inlineStr">
        <is>
          <t>Présenter les matériaux, marques, origines et normes proposés</t>
        </is>
      </c>
      <c r="E110" s="29" t="inlineStr">
        <is>
          <t>Chef de projet</t>
        </is>
      </c>
      <c r="F110" s="30" t="inlineStr">
        <is>
          <t>V1.0</t>
        </is>
      </c>
      <c r="G110" s="29" t="inlineStr">
        <is>
          <t>10_MARCHES_PUBLICS/07_Offre_Technique</t>
        </is>
      </c>
      <c r="H110" s="30" t="inlineStr">
        <is>
          <t>12</t>
        </is>
      </c>
      <c r="I110" s="30" t="inlineStr">
        <is>
          <t>Créé</t>
        </is>
      </c>
      <c r="J110" s="30" t="inlineStr">
        <is>
          <t>BROUILLON</t>
        </is>
      </c>
      <c r="K110" s="29" t="inlineStr">
        <is>
          <t>DGS-MAR-034-Liste-Materiaux-Et-Fournitures-Proposes.docx</t>
        </is>
      </c>
    </row>
    <row r="111" ht="23.85" customHeight="1" s="23">
      <c r="A111" s="28" t="inlineStr">
        <is>
          <t>DGS-MAR-035</t>
        </is>
      </c>
      <c r="B111" s="29" t="inlineStr">
        <is>
          <t>Plan qualité du chantier</t>
        </is>
      </c>
      <c r="C111" s="29" t="inlineStr">
        <is>
          <t>Marchés publics</t>
        </is>
      </c>
      <c r="D111" s="29" t="inlineStr">
        <is>
          <t>Décrire l’organisation qualité et les contrôles prévus sur le chantier</t>
        </is>
      </c>
      <c r="E111" s="29" t="inlineStr">
        <is>
          <t>Chef de projet + Gérant</t>
        </is>
      </c>
      <c r="F111" s="30" t="inlineStr">
        <is>
          <t>V1.0</t>
        </is>
      </c>
      <c r="G111" s="29" t="inlineStr">
        <is>
          <t>10_MARCHES_PUBLICS/07_Offre_Technique</t>
        </is>
      </c>
      <c r="H111" s="30" t="inlineStr">
        <is>
          <t>12</t>
        </is>
      </c>
      <c r="I111" s="30" t="inlineStr">
        <is>
          <t>Créé</t>
        </is>
      </c>
      <c r="J111" s="30" t="inlineStr">
        <is>
          <t>BROUILLON</t>
        </is>
      </c>
      <c r="K111" s="29" t="inlineStr">
        <is>
          <t>DGS-MAR-035-Plan-Qualite-Chantier.docx</t>
        </is>
      </c>
    </row>
    <row r="112" ht="23.85" customHeight="1" s="23">
      <c r="A112" s="28" t="inlineStr">
        <is>
          <t>DGS-MAR-036</t>
        </is>
      </c>
      <c r="B112" s="29" t="inlineStr">
        <is>
          <t>Plan HSE du chantier</t>
        </is>
      </c>
      <c r="C112" s="29" t="inlineStr">
        <is>
          <t>Marchés publics</t>
        </is>
      </c>
      <c r="D112" s="29" t="inlineStr">
        <is>
          <t>Décrire l’organisation hygiène, sécurité et environnement du chantier [À VALIDER JURIDIQUEMENT]</t>
        </is>
      </c>
      <c r="E112" s="29" t="inlineStr">
        <is>
          <t>Chef de projet + Gérant</t>
        </is>
      </c>
      <c r="F112" s="30" t="inlineStr">
        <is>
          <t>V1.0</t>
        </is>
      </c>
      <c r="G112" s="29" t="inlineStr">
        <is>
          <t>10_MARCHES_PUBLICS/07_Offre_Technique</t>
        </is>
      </c>
      <c r="H112" s="30" t="inlineStr">
        <is>
          <t>12</t>
        </is>
      </c>
      <c r="I112" s="30" t="inlineStr">
        <is>
          <t>Créé</t>
        </is>
      </c>
      <c r="J112" s="30" t="inlineStr">
        <is>
          <t>BROUILLON</t>
        </is>
      </c>
      <c r="K112" s="29" t="inlineStr">
        <is>
          <t>DGS-MAR-036-Plan-HSE-Chantier.docx</t>
        </is>
      </c>
    </row>
    <row r="113" ht="23.85" customHeight="1" s="23">
      <c r="A113" s="28" t="inlineStr">
        <is>
          <t>DGS-MAR-037</t>
        </is>
      </c>
      <c r="B113" s="29" t="inlineStr">
        <is>
          <t>Feuille d’acceptation du cahier des charges</t>
        </is>
      </c>
      <c r="C113" s="29" t="inlineStr">
        <is>
          <t>Marchés publics</t>
        </is>
      </c>
      <c r="D113" s="29" t="inlineStr">
        <is>
          <t>Attester la lecture et l’acceptation du cahier des charges (mention « lu et accepté »)</t>
        </is>
      </c>
      <c r="E113" s="29" t="inlineStr">
        <is>
          <t>Soumissionnaire</t>
        </is>
      </c>
      <c r="F113" s="30" t="inlineStr">
        <is>
          <t>V1.0</t>
        </is>
      </c>
      <c r="G113" s="29" t="inlineStr">
        <is>
          <t>10_MARCHES_PUBLICS/07_Offre_Technique</t>
        </is>
      </c>
      <c r="H113" s="30" t="inlineStr">
        <is>
          <t>12</t>
        </is>
      </c>
      <c r="I113" s="30" t="inlineStr">
        <is>
          <t>Créé</t>
        </is>
      </c>
      <c r="J113" s="30" t="inlineStr">
        <is>
          <t>BROUILLON</t>
        </is>
      </c>
      <c r="K113" s="29" t="inlineStr">
        <is>
          <t>DGS-MAR-037-Feuille-Acceptation-Cahier-Charges.docx</t>
        </is>
      </c>
    </row>
    <row r="114" ht="23.85" customHeight="1" s="23">
      <c r="A114" s="28" t="inlineStr">
        <is>
          <t>DGS-MAR-038</t>
        </is>
      </c>
      <c r="B114" s="29" t="inlineStr">
        <is>
          <t>Organigramme de l’équipe de chantier</t>
        </is>
      </c>
      <c r="C114" s="29" t="inlineStr">
        <is>
          <t>Marchés publics</t>
        </is>
      </c>
      <c r="D114" s="29" t="inlineStr">
        <is>
          <t>Présenter l’organisation hiérarchique et les fonctions de l’équipe affectée au marché</t>
        </is>
      </c>
      <c r="E114" s="29" t="inlineStr">
        <is>
          <t>Gérant</t>
        </is>
      </c>
      <c r="F114" s="30" t="inlineStr">
        <is>
          <t>V1.0</t>
        </is>
      </c>
      <c r="G114" s="29" t="inlineStr">
        <is>
          <t>10_MARCHES_PUBLICS/07_Offre_Technique</t>
        </is>
      </c>
      <c r="H114" s="30" t="inlineStr">
        <is>
          <t>14</t>
        </is>
      </c>
      <c r="I114" s="30" t="inlineStr">
        <is>
          <t>Créé</t>
        </is>
      </c>
      <c r="J114" s="30" t="inlineStr">
        <is>
          <t>BROUILLON</t>
        </is>
      </c>
      <c r="K114" s="29" t="inlineStr">
        <is>
          <t>DGS-MAR-038-Organigramme-Equipe-Chantier.docx</t>
        </is>
      </c>
    </row>
    <row r="115" ht="23.85" customHeight="1" s="23">
      <c r="A115" s="28" t="inlineStr">
        <is>
          <t>DGS-MAR-039</t>
        </is>
      </c>
      <c r="B115" s="29" t="inlineStr">
        <is>
          <t>Plan de gestion environnementale et des déchets de chantier</t>
        </is>
      </c>
      <c r="C115" s="29" t="inlineStr">
        <is>
          <t>Marchés publics</t>
        </is>
      </c>
      <c r="D115" s="29" t="inlineStr">
        <is>
          <t>Décrire le tri, le stockage et l’évacuation des déchets et les mesures de protection de l’environnement du chantier</t>
        </is>
      </c>
      <c r="E115" s="29" t="inlineStr">
        <is>
          <t>Chef de projet + Gérant</t>
        </is>
      </c>
      <c r="F115" s="30" t="inlineStr">
        <is>
          <t>V1.0</t>
        </is>
      </c>
      <c r="G115" s="29" t="inlineStr">
        <is>
          <t>10_MARCHES_PUBLICS/07_Offre_Technique</t>
        </is>
      </c>
      <c r="H115" s="30" t="inlineStr">
        <is>
          <t>14</t>
        </is>
      </c>
      <c r="I115" s="30" t="inlineStr">
        <is>
          <t>Créé</t>
        </is>
      </c>
      <c r="J115" s="30" t="inlineStr">
        <is>
          <t>BROUILLON</t>
        </is>
      </c>
      <c r="K115" s="29" t="inlineStr">
        <is>
          <t>DGS-MAR-039-Plan-Gestion-Environnementale-Dechets-Chantier.docx</t>
        </is>
      </c>
    </row>
    <row r="116" ht="23.85" customHeight="1" s="23">
      <c r="A116" s="28" t="inlineStr">
        <is>
          <t>DGS-MAR-040</t>
        </is>
      </c>
      <c r="B116" s="29" t="inlineStr">
        <is>
          <t>Lettre de soumission</t>
        </is>
      </c>
      <c r="C116" s="29" t="inlineStr">
        <is>
          <t>Marchés publics</t>
        </is>
      </c>
      <c r="D116" s="29" t="inlineStr">
        <is>
          <t>Formuler l’engagement financier de DGS pour l’exécution du marché</t>
        </is>
      </c>
      <c r="E116" s="29" t="inlineStr">
        <is>
          <t>Soumissionnaire</t>
        </is>
      </c>
      <c r="F116" s="30" t="inlineStr">
        <is>
          <t>V1.0</t>
        </is>
      </c>
      <c r="G116" s="29" t="inlineStr">
        <is>
          <t>10_MARCHES_PUBLICS/08_Offre_Financiere</t>
        </is>
      </c>
      <c r="H116" s="30" t="inlineStr">
        <is>
          <t>12</t>
        </is>
      </c>
      <c r="I116" s="30" t="inlineStr">
        <is>
          <t>Créé</t>
        </is>
      </c>
      <c r="J116" s="30" t="inlineStr">
        <is>
          <t>BROUILLON</t>
        </is>
      </c>
      <c r="K116" s="29" t="inlineStr">
        <is>
          <t>DGS-MAR-040-Lettre-Soumission.docx</t>
        </is>
      </c>
    </row>
    <row r="117" ht="23.85" customHeight="1" s="23">
      <c r="A117" s="28" t="inlineStr">
        <is>
          <t>DGS-MAR-041</t>
        </is>
      </c>
      <c r="B117" s="29" t="inlineStr">
        <is>
          <t>Bordereau des prix unitaires</t>
        </is>
      </c>
      <c r="C117" s="29" t="inlineStr">
        <is>
          <t>Marchés publics</t>
        </is>
      </c>
      <c r="D117" s="29" t="inlineStr">
        <is>
          <t>Fixer les prix unitaires en chiffres et en lettres</t>
        </is>
      </c>
      <c r="E117" s="29" t="inlineStr">
        <is>
          <t>Soumissionnaire</t>
        </is>
      </c>
      <c r="F117" s="30" t="inlineStr">
        <is>
          <t>V1.0</t>
        </is>
      </c>
      <c r="G117" s="29" t="inlineStr">
        <is>
          <t>10_MARCHES_PUBLICS/08_Offre_Financiere</t>
        </is>
      </c>
      <c r="H117" s="30" t="inlineStr">
        <is>
          <t>12</t>
        </is>
      </c>
      <c r="I117" s="30" t="inlineStr">
        <is>
          <t>Créé</t>
        </is>
      </c>
      <c r="J117" s="30" t="inlineStr">
        <is>
          <t>BROUILLON</t>
        </is>
      </c>
      <c r="K117" s="29" t="inlineStr">
        <is>
          <t>DGS-MAR-041-Bordereau-Prix-Unitaires.docx</t>
        </is>
      </c>
    </row>
    <row r="118" ht="23.85" customHeight="1" s="23">
      <c r="A118" s="28" t="inlineStr">
        <is>
          <t>DGS-MAR-042</t>
        </is>
      </c>
      <c r="B118" s="29" t="inlineStr">
        <is>
          <t>Détail quantitatif et estimatif</t>
        </is>
      </c>
      <c r="C118" s="29" t="inlineStr">
        <is>
          <t>Marchés publics</t>
        </is>
      </c>
      <c r="D118" s="29" t="inlineStr">
        <is>
          <t>Chiffrer les quantités du marché et en calculer le montant total</t>
        </is>
      </c>
      <c r="E118" s="29" t="inlineStr">
        <is>
          <t>Soumissionnaire</t>
        </is>
      </c>
      <c r="F118" s="30" t="inlineStr">
        <is>
          <t>V1.0</t>
        </is>
      </c>
      <c r="G118" s="29" t="inlineStr">
        <is>
          <t>10_MARCHES_PUBLICS/08_Offre_Financiere</t>
        </is>
      </c>
      <c r="H118" s="30" t="inlineStr">
        <is>
          <t>12</t>
        </is>
      </c>
      <c r="I118" s="30" t="inlineStr">
        <is>
          <t>Créé</t>
        </is>
      </c>
      <c r="J118" s="30" t="inlineStr">
        <is>
          <t>BROUILLON</t>
        </is>
      </c>
      <c r="K118" s="29" t="inlineStr">
        <is>
          <t>DGS-MAR-042-Detail-Quantitatif-Et-Estimatif.docx</t>
        </is>
      </c>
    </row>
    <row r="119" ht="23.85" customHeight="1" s="23">
      <c r="A119" s="28" t="inlineStr">
        <is>
          <t>DGS-MAR-043</t>
        </is>
      </c>
      <c r="B119" s="29" t="inlineStr">
        <is>
          <t>Sous-détail des prix unitaires</t>
        </is>
      </c>
      <c r="C119" s="29" t="inlineStr">
        <is>
          <t>Marchés publics</t>
        </is>
      </c>
      <c r="D119" s="29" t="inlineStr">
        <is>
          <t>Justifier un prix unitaire par ses composantes (main-d’œuvre, matériaux, matériel)</t>
        </is>
      </c>
      <c r="E119" s="29" t="inlineStr">
        <is>
          <t>Chef de projet + Gérant</t>
        </is>
      </c>
      <c r="F119" s="30" t="inlineStr">
        <is>
          <t>V1.0</t>
        </is>
      </c>
      <c r="G119" s="29" t="inlineStr">
        <is>
          <t>10_MARCHES_PUBLICS/08_Offre_Financiere</t>
        </is>
      </c>
      <c r="H119" s="30" t="inlineStr">
        <is>
          <t>12</t>
        </is>
      </c>
      <c r="I119" s="30" t="inlineStr">
        <is>
          <t>Créé</t>
        </is>
      </c>
      <c r="J119" s="30" t="inlineStr">
        <is>
          <t>BROUILLON</t>
        </is>
      </c>
      <c r="K119" s="29" t="inlineStr">
        <is>
          <t>DGS-MAR-043-Sous-Detail-Prix-Unitaires.docx</t>
        </is>
      </c>
    </row>
    <row r="120" ht="23.85" customHeight="1" s="23">
      <c r="A120" s="28" t="inlineStr">
        <is>
          <t>DGS-MAR-044</t>
        </is>
      </c>
      <c r="B120" s="29" t="inlineStr">
        <is>
          <t>Décomposition du prix global et forfaitaire</t>
        </is>
      </c>
      <c r="C120" s="29" t="inlineStr">
        <is>
          <t>Marchés publics</t>
        </is>
      </c>
      <c r="D120" s="29" t="inlineStr">
        <is>
          <t>Détailler le prix global d’un marché à prix forfaitaire</t>
        </is>
      </c>
      <c r="E120" s="29" t="inlineStr">
        <is>
          <t>Soumissionnaire</t>
        </is>
      </c>
      <c r="F120" s="30" t="inlineStr">
        <is>
          <t>V1.0</t>
        </is>
      </c>
      <c r="G120" s="29" t="inlineStr">
        <is>
          <t>10_MARCHES_PUBLICS/08_Offre_Financiere</t>
        </is>
      </c>
      <c r="H120" s="30" t="inlineStr">
        <is>
          <t>12</t>
        </is>
      </c>
      <c r="I120" s="30" t="inlineStr">
        <is>
          <t>Créé</t>
        </is>
      </c>
      <c r="J120" s="30" t="inlineStr">
        <is>
          <t>BROUILLON</t>
        </is>
      </c>
      <c r="K120" s="29" t="inlineStr">
        <is>
          <t>DGS-MAR-044-Decomposition-Prix-Global-Et-Forfaitaire.docx</t>
        </is>
      </c>
    </row>
    <row r="121" ht="23.85" customHeight="1" s="23">
      <c r="A121" s="28" t="inlineStr">
        <is>
          <t>DGS-MAR-045</t>
        </is>
      </c>
      <c r="B121" s="29" t="inlineStr">
        <is>
          <t>Calculateur du détail quantitatif et estimatif (Excel)</t>
        </is>
      </c>
      <c r="C121" s="29" t="inlineStr">
        <is>
          <t>Marchés publics</t>
        </is>
      </c>
      <c r="D121" s="29" t="inlineStr">
        <is>
          <t>Calculer automatiquement les montants, les totaux par lot, la TVA et le total TTC</t>
        </is>
      </c>
      <c r="E121" s="29" t="inlineStr">
        <is>
          <t>Aucune (outil de calcul)</t>
        </is>
      </c>
      <c r="F121" s="30" t="inlineStr">
        <is>
          <t>V1.0</t>
        </is>
      </c>
      <c r="G121" s="29" t="inlineStr">
        <is>
          <t>10_MARCHES_PUBLICS/08_Offre_Financiere</t>
        </is>
      </c>
      <c r="H121" s="30" t="inlineStr">
        <is>
          <t>12</t>
        </is>
      </c>
      <c r="I121" s="30" t="inlineStr">
        <is>
          <t>Créé</t>
        </is>
      </c>
      <c r="J121" s="30" t="inlineStr">
        <is>
          <t>BROUILLON</t>
        </is>
      </c>
      <c r="K121" s="29" t="inlineStr">
        <is>
          <t>DGS-MAR-045-Calculateur-DQE.xlsx</t>
        </is>
      </c>
    </row>
    <row r="122" ht="23.85" customHeight="1" s="23">
      <c r="A122" s="28" t="inlineStr">
        <is>
          <t>DGS-MAR-046</t>
        </is>
      </c>
      <c r="B122" s="29" t="inlineStr">
        <is>
          <t>Récapitulatif des lots et du montant global de l’offre</t>
        </is>
      </c>
      <c r="C122" s="29" t="inlineStr">
        <is>
          <t>Marchés publics</t>
        </is>
      </c>
      <c r="D122" s="29" t="inlineStr">
        <is>
          <t>Totaliser les montants par lot pour obtenir le montant global HT, la TVA et le TTC de l’offre</t>
        </is>
      </c>
      <c r="E122" s="29" t="inlineStr">
        <is>
          <t>Soumissionnaire</t>
        </is>
      </c>
      <c r="F122" s="30" t="inlineStr">
        <is>
          <t>V1.0</t>
        </is>
      </c>
      <c r="G122" s="29" t="inlineStr">
        <is>
          <t>10_MARCHES_PUBLICS/08_Offre_Financiere</t>
        </is>
      </c>
      <c r="H122" s="30" t="inlineStr">
        <is>
          <t>14</t>
        </is>
      </c>
      <c r="I122" s="30" t="inlineStr">
        <is>
          <t>Créé</t>
        </is>
      </c>
      <c r="J122" s="30" t="inlineStr">
        <is>
          <t>BROUILLON</t>
        </is>
      </c>
      <c r="K122" s="29" t="inlineStr">
        <is>
          <t>DGS-MAR-046-Recapitulatif-Lots-Montant-Global-Offre.docx</t>
        </is>
      </c>
    </row>
    <row r="123" ht="23.85" customHeight="1" s="23">
      <c r="A123" s="28" t="inlineStr">
        <is>
          <t>DGS-MAR-047</t>
        </is>
      </c>
      <c r="B123" s="29" t="inlineStr">
        <is>
          <t>Échéancier prévisionnel de facturation</t>
        </is>
      </c>
      <c r="C123" s="29" t="inlineStr">
        <is>
          <t>Marchés publics</t>
        </is>
      </c>
      <c r="D123" s="29" t="inlineStr">
        <is>
          <t>Prévoir les situations de travaux, l’avance et la retenue de garantie pour établir le plan de trésorerie du marché</t>
        </is>
      </c>
      <c r="E123" s="29" t="inlineStr">
        <is>
          <t>Soumissionnaire</t>
        </is>
      </c>
      <c r="F123" s="30" t="inlineStr">
        <is>
          <t>V1.0</t>
        </is>
      </c>
      <c r="G123" s="29" t="inlineStr">
        <is>
          <t>10_MARCHES_PUBLICS/08_Offre_Financiere</t>
        </is>
      </c>
      <c r="H123" s="30" t="inlineStr">
        <is>
          <t>14</t>
        </is>
      </c>
      <c r="I123" s="30" t="inlineStr">
        <is>
          <t>Créé</t>
        </is>
      </c>
      <c r="J123" s="30" t="inlineStr">
        <is>
          <t>BROUILLON</t>
        </is>
      </c>
      <c r="K123" s="29" t="inlineStr">
        <is>
          <t>DGS-MAR-047-Echeancier-Previsionnel-Facturation.docx</t>
        </is>
      </c>
    </row>
    <row r="124" ht="23.85" customHeight="1" s="23">
      <c r="A124" s="28" t="inlineStr">
        <is>
          <t>DGS-MAR-048</t>
        </is>
      </c>
      <c r="B124" s="29" t="inlineStr">
        <is>
          <t>Fiche de détermination du coefficient de vente</t>
        </is>
      </c>
      <c r="C124" s="29" t="inlineStr">
        <is>
          <t>Marchés publics</t>
        </is>
      </c>
      <c r="D124" s="29" t="inlineStr">
        <is>
          <t>Calculer le coefficient K qui transforme le déboursé sec en prix de vente (frais, aléas, bénéfice, taxes)</t>
        </is>
      </c>
      <c r="E124" s="29" t="inlineStr">
        <is>
          <t>Chef de projet + Gérant</t>
        </is>
      </c>
      <c r="F124" s="30" t="inlineStr">
        <is>
          <t>V1.0</t>
        </is>
      </c>
      <c r="G124" s="29" t="inlineStr">
        <is>
          <t>10_MARCHES_PUBLICS/08_Offre_Financiere</t>
        </is>
      </c>
      <c r="H124" s="30" t="inlineStr">
        <is>
          <t>14</t>
        </is>
      </c>
      <c r="I124" s="30" t="inlineStr">
        <is>
          <t>Créé</t>
        </is>
      </c>
      <c r="J124" s="30" t="inlineStr">
        <is>
          <t>BROUILLON</t>
        </is>
      </c>
      <c r="K124" s="29" t="inlineStr">
        <is>
          <t>DGS-MAR-048-Fiche-Determination-Coefficient-Vente.docx</t>
        </is>
      </c>
    </row>
    <row r="125" ht="23.85" customHeight="1" s="23">
      <c r="A125" s="28" t="inlineStr">
        <is>
          <t>DGS-MAR-049</t>
        </is>
      </c>
      <c r="B125" s="29" t="inlineStr">
        <is>
          <t>Fiche de vérification arithmétique de l’offre financière</t>
        </is>
      </c>
      <c r="C125" s="29" t="inlineStr">
        <is>
          <t>Marchés publics</t>
        </is>
      </c>
      <c r="D125" s="29" t="inlineStr">
        <is>
          <t>Contrôler les calculs et la cohérence de l’offre financière avant la remise du dossier</t>
        </is>
      </c>
      <c r="E125" s="29" t="inlineStr">
        <is>
          <t>Chef de projet + Gérant</t>
        </is>
      </c>
      <c r="F125" s="30" t="inlineStr">
        <is>
          <t>V1.0</t>
        </is>
      </c>
      <c r="G125" s="29" t="inlineStr">
        <is>
          <t>10_MARCHES_PUBLICS/08_Offre_Financiere</t>
        </is>
      </c>
      <c r="H125" s="30" t="inlineStr">
        <is>
          <t>14</t>
        </is>
      </c>
      <c r="I125" s="30" t="inlineStr">
        <is>
          <t>Créé</t>
        </is>
      </c>
      <c r="J125" s="30" t="inlineStr">
        <is>
          <t>BROUILLON</t>
        </is>
      </c>
      <c r="K125" s="29" t="inlineStr">
        <is>
          <t>DGS-MAR-049-Fiche-Verification-Arithmetique-Offre-Financiere.docx</t>
        </is>
      </c>
    </row>
    <row r="126" ht="23.85" customHeight="1" s="23">
      <c r="A126" s="28" t="inlineStr">
        <is>
          <t>DGS-MAR-050</t>
        </is>
      </c>
      <c r="B126" s="29" t="inlineStr">
        <is>
          <t>Demande d’émission de caution bancaire</t>
        </is>
      </c>
      <c r="C126" s="29" t="inlineStr">
        <is>
          <t>Marchés publics</t>
        </is>
      </c>
      <c r="D126" s="29" t="inlineStr">
        <is>
          <t>Demander à la banque l’émission d’une caution (soumission, bonne exécution, avance)</t>
        </is>
      </c>
      <c r="E126" s="29" t="inlineStr">
        <is>
          <t>DGS</t>
        </is>
      </c>
      <c r="F126" s="30" t="inlineStr">
        <is>
          <t>V1.0</t>
        </is>
      </c>
      <c r="G126" s="29" t="inlineStr">
        <is>
          <t>10_MARCHES_PUBLICS/09_Garanties_Cautions</t>
        </is>
      </c>
      <c r="H126" s="30" t="inlineStr">
        <is>
          <t>12</t>
        </is>
      </c>
      <c r="I126" s="30" t="inlineStr">
        <is>
          <t>Créé</t>
        </is>
      </c>
      <c r="J126" s="30" t="inlineStr">
        <is>
          <t>BROUILLON</t>
        </is>
      </c>
      <c r="K126" s="29" t="inlineStr">
        <is>
          <t>DGS-MAR-050-Demande-Emission-Caution-Bancaire.docx</t>
        </is>
      </c>
    </row>
    <row r="127" ht="23.85" customHeight="1" s="23">
      <c r="A127" s="28" t="inlineStr">
        <is>
          <t>DGS-MAR-051</t>
        </is>
      </c>
      <c r="B127" s="29" t="inlineStr">
        <is>
          <t>Tableau de suivi des cautions et garanties</t>
        </is>
      </c>
      <c r="C127" s="29" t="inlineStr">
        <is>
          <t>Marchés publics</t>
        </is>
      </c>
      <c r="D127" s="29" t="inlineStr">
        <is>
          <t>Suivre les cautions émises, leurs échéances et leur mainlevée</t>
        </is>
      </c>
      <c r="E127" s="29" t="inlineStr">
        <is>
          <t>DGS</t>
        </is>
      </c>
      <c r="F127" s="30" t="inlineStr">
        <is>
          <t>V1.0</t>
        </is>
      </c>
      <c r="G127" s="29" t="inlineStr">
        <is>
          <t>10_MARCHES_PUBLICS/09_Garanties_Cautions</t>
        </is>
      </c>
      <c r="H127" s="30" t="inlineStr">
        <is>
          <t>12</t>
        </is>
      </c>
      <c r="I127" s="30" t="inlineStr">
        <is>
          <t>Créé</t>
        </is>
      </c>
      <c r="J127" s="30" t="inlineStr">
        <is>
          <t>BROUILLON</t>
        </is>
      </c>
      <c r="K127" s="29" t="inlineStr">
        <is>
          <t>DGS-MAR-051-Tableau-Suivi-Cautions-Et-Garanties.docx</t>
        </is>
      </c>
    </row>
    <row r="128" ht="23.85" customHeight="1" s="23">
      <c r="A128" s="28" t="inlineStr">
        <is>
          <t>DGS-MAR-052</t>
        </is>
      </c>
      <c r="B128" s="29" t="inlineStr">
        <is>
          <t>Demande de mainlevée de caution</t>
        </is>
      </c>
      <c r="C128" s="29" t="inlineStr">
        <is>
          <t>Marchés publics</t>
        </is>
      </c>
      <c r="D128" s="29" t="inlineStr">
        <is>
          <t>Demander la restitution ou la mainlevée d’une caution</t>
        </is>
      </c>
      <c r="E128" s="29" t="inlineStr">
        <is>
          <t>DGS</t>
        </is>
      </c>
      <c r="F128" s="30" t="inlineStr">
        <is>
          <t>V1.0</t>
        </is>
      </c>
      <c r="G128" s="29" t="inlineStr">
        <is>
          <t>10_MARCHES_PUBLICS/09_Garanties_Cautions</t>
        </is>
      </c>
      <c r="H128" s="30" t="inlineStr">
        <is>
          <t>12</t>
        </is>
      </c>
      <c r="I128" s="30" t="inlineStr">
        <is>
          <t>Créé</t>
        </is>
      </c>
      <c r="J128" s="30" t="inlineStr">
        <is>
          <t>BROUILLON</t>
        </is>
      </c>
      <c r="K128" s="29" t="inlineStr">
        <is>
          <t>DGS-MAR-052-Demande-Mainlevee-Caution.docx</t>
        </is>
      </c>
    </row>
    <row r="129" ht="23.85" customHeight="1" s="23">
      <c r="A129" s="28" t="inlineStr">
        <is>
          <t>DGS-MAR-053</t>
        </is>
      </c>
      <c r="B129" s="29" t="inlineStr">
        <is>
          <t>Demande de prorogation de caution</t>
        </is>
      </c>
      <c r="C129" s="29" t="inlineStr">
        <is>
          <t>Marchés publics</t>
        </is>
      </c>
      <c r="D129" s="29" t="inlineStr">
        <is>
          <t>Demander à la banque de proroger la validité d’une caution (soumission, bonne exécution) à la demande du service contractant</t>
        </is>
      </c>
      <c r="E129" s="29" t="inlineStr">
        <is>
          <t>DGS</t>
        </is>
      </c>
      <c r="F129" s="30" t="inlineStr">
        <is>
          <t>V1.0</t>
        </is>
      </c>
      <c r="G129" s="29" t="inlineStr">
        <is>
          <t>10_MARCHES_PUBLICS/09_Garanties_Cautions</t>
        </is>
      </c>
      <c r="H129" s="30" t="inlineStr">
        <is>
          <t>14</t>
        </is>
      </c>
      <c r="I129" s="30" t="inlineStr">
        <is>
          <t>Créé</t>
        </is>
      </c>
      <c r="J129" s="30" t="inlineStr">
        <is>
          <t>BROUILLON</t>
        </is>
      </c>
      <c r="K129" s="29" t="inlineStr">
        <is>
          <t>DGS-MAR-053-Demande-Prorogation-Caution.docx</t>
        </is>
      </c>
    </row>
    <row r="130" ht="23.85" customHeight="1" s="23">
      <c r="A130" s="28" t="inlineStr">
        <is>
          <t>DGS-MAR-054</t>
        </is>
      </c>
      <c r="B130" s="29" t="inlineStr">
        <is>
          <t>Fiche de détermination des garanties du marché</t>
        </is>
      </c>
      <c r="C130" s="29" t="inlineStr">
        <is>
          <t>Marchés publics</t>
        </is>
      </c>
      <c r="D130" s="29" t="inlineStr">
        <is>
          <t>Calculer les montants, durées et coûts des garanties exigées par un marché (cautions et retenue de garantie)</t>
        </is>
      </c>
      <c r="E130" s="29" t="inlineStr">
        <is>
          <t>Gérant</t>
        </is>
      </c>
      <c r="F130" s="30" t="inlineStr">
        <is>
          <t>V1.0</t>
        </is>
      </c>
      <c r="G130" s="29" t="inlineStr">
        <is>
          <t>10_MARCHES_PUBLICS/09_Garanties_Cautions</t>
        </is>
      </c>
      <c r="H130" s="30" t="inlineStr">
        <is>
          <t>14</t>
        </is>
      </c>
      <c r="I130" s="30" t="inlineStr">
        <is>
          <t>Créé</t>
        </is>
      </c>
      <c r="J130" s="30" t="inlineStr">
        <is>
          <t>BROUILLON</t>
        </is>
      </c>
      <c r="K130" s="29" t="inlineStr">
        <is>
          <t>DGS-MAR-054-Fiche-Determination-Garanties-Marche.docx</t>
        </is>
      </c>
    </row>
    <row r="131" ht="23.85" customHeight="1" s="23">
      <c r="A131" s="28" t="inlineStr">
        <is>
          <t>DGS-MAR-055</t>
        </is>
      </c>
      <c r="B131" s="29" t="inlineStr">
        <is>
          <t>Demande de substitution de la retenue de garantie par une caution bancaire</t>
        </is>
      </c>
      <c r="C131" s="29" t="inlineStr">
        <is>
          <t>Marchés publics</t>
        </is>
      </c>
      <c r="D131" s="29" t="inlineStr">
        <is>
          <t>Demander au service contractant de remplacer la retenue de garantie par une caution bancaire</t>
        </is>
      </c>
      <c r="E131" s="29" t="inlineStr">
        <is>
          <t>DGS</t>
        </is>
      </c>
      <c r="F131" s="30" t="inlineStr">
        <is>
          <t>V1.0</t>
        </is>
      </c>
      <c r="G131" s="29" t="inlineStr">
        <is>
          <t>10_MARCHES_PUBLICS/09_Garanties_Cautions</t>
        </is>
      </c>
      <c r="H131" s="30" t="inlineStr">
        <is>
          <t>14</t>
        </is>
      </c>
      <c r="I131" s="30" t="inlineStr">
        <is>
          <t>Créé</t>
        </is>
      </c>
      <c r="J131" s="30" t="inlineStr">
        <is>
          <t>BROUILLON</t>
        </is>
      </c>
      <c r="K131" s="29" t="inlineStr">
        <is>
          <t>DGS-MAR-055-Demande-Substitution-Retenue-Garantie-Caution.docx</t>
        </is>
      </c>
    </row>
    <row r="132" ht="23.85" customHeight="1" s="23">
      <c r="A132" s="28" t="inlineStr">
        <is>
          <t>DGS-MAR-056</t>
        </is>
      </c>
      <c r="B132" s="29" t="inlineStr">
        <is>
          <t>Demande de restitution de la retenue de garantie</t>
        </is>
      </c>
      <c r="C132" s="29" t="inlineStr">
        <is>
          <t>Marchés publics</t>
        </is>
      </c>
      <c r="D132" s="29" t="inlineStr">
        <is>
          <t>Demander le remboursement de la retenue de garantie après la réception définitive du marché</t>
        </is>
      </c>
      <c r="E132" s="29" t="inlineStr">
        <is>
          <t>DGS</t>
        </is>
      </c>
      <c r="F132" s="30" t="inlineStr">
        <is>
          <t>V1.0</t>
        </is>
      </c>
      <c r="G132" s="29" t="inlineStr">
        <is>
          <t>10_MARCHES_PUBLICS/09_Garanties_Cautions</t>
        </is>
      </c>
      <c r="H132" s="30" t="inlineStr">
        <is>
          <t>14</t>
        </is>
      </c>
      <c r="I132" s="30" t="inlineStr">
        <is>
          <t>Créé</t>
        </is>
      </c>
      <c r="J132" s="30" t="inlineStr">
        <is>
          <t>BROUILLON</t>
        </is>
      </c>
      <c r="K132" s="29" t="inlineStr">
        <is>
          <t>DGS-MAR-056-Demande-Restitution-Retenue-Garantie.docx</t>
        </is>
      </c>
    </row>
    <row r="133" ht="23.85" customHeight="1" s="23">
      <c r="A133" s="28" t="inlineStr">
        <is>
          <t>DGS-MAR-060</t>
        </is>
      </c>
      <c r="B133" s="29" t="inlineStr">
        <is>
          <t>Bordereau des pièces justificatives de l’attributaire</t>
        </is>
      </c>
      <c r="C133" s="29" t="inlineStr">
        <is>
          <t>Marchés publics</t>
        </is>
      </c>
      <c r="D133" s="29" t="inlineStr">
        <is>
          <t>Rassembler les pièces à fournir en cas d’attribution du marché</t>
        </is>
      </c>
      <c r="E133" s="29" t="inlineStr">
        <is>
          <t>Chef de projet + Gérant</t>
        </is>
      </c>
      <c r="F133" s="30" t="inlineStr">
        <is>
          <t>V1.0</t>
        </is>
      </c>
      <c r="G133" s="29" t="inlineStr">
        <is>
          <t>10_MARCHES_PUBLICS/13_Attribution_Et_Demarrage</t>
        </is>
      </c>
      <c r="H133" s="30" t="inlineStr">
        <is>
          <t>12</t>
        </is>
      </c>
      <c r="I133" s="30" t="inlineStr">
        <is>
          <t>Créé</t>
        </is>
      </c>
      <c r="J133" s="30" t="inlineStr">
        <is>
          <t>BROUILLON</t>
        </is>
      </c>
      <c r="K133" s="29" t="inlineStr">
        <is>
          <t>DGS-MAR-060-Bordereau-Pieces-Justificatives-Attributaire.docx</t>
        </is>
      </c>
    </row>
    <row r="134" ht="23.85" customHeight="1" s="23">
      <c r="A134" s="28" t="inlineStr">
        <is>
          <t>DGS-MAR-061</t>
        </is>
      </c>
      <c r="B134" s="29" t="inlineStr">
        <is>
          <t>Accusé de réception de l’ordre de service de démarrage</t>
        </is>
      </c>
      <c r="C134" s="29" t="inlineStr">
        <is>
          <t>Marchés publics</t>
        </is>
      </c>
      <c r="D134" s="29" t="inlineStr">
        <is>
          <t>Accuser réception de l’ordre de service de commencer les travaux</t>
        </is>
      </c>
      <c r="E134" s="29" t="inlineStr">
        <is>
          <t>DGS</t>
        </is>
      </c>
      <c r="F134" s="30" t="inlineStr">
        <is>
          <t>V1.0</t>
        </is>
      </c>
      <c r="G134" s="29" t="inlineStr">
        <is>
          <t>10_MARCHES_PUBLICS/13_Attribution_Et_Demarrage</t>
        </is>
      </c>
      <c r="H134" s="30" t="inlineStr">
        <is>
          <t>12</t>
        </is>
      </c>
      <c r="I134" s="30" t="inlineStr">
        <is>
          <t>Créé</t>
        </is>
      </c>
      <c r="J134" s="30" t="inlineStr">
        <is>
          <t>BROUILLON</t>
        </is>
      </c>
      <c r="K134" s="29" t="inlineStr">
        <is>
          <t>DGS-MAR-061-Accuse-Reception-Ordre-Service-Demarrage.docx</t>
        </is>
      </c>
    </row>
    <row r="135" ht="23.85" customHeight="1" s="23">
      <c r="A135" s="28" t="inlineStr">
        <is>
          <t>DGS-MAR-062</t>
        </is>
      </c>
      <c r="B135" s="29" t="inlineStr">
        <is>
          <t>Demande d’avance</t>
        </is>
      </c>
      <c r="C135" s="29" t="inlineStr">
        <is>
          <t>Marchés publics</t>
        </is>
      </c>
      <c r="D135" s="29" t="inlineStr">
        <is>
          <t>Demander une avance forfaitaire ou sur approvisionnements [À VALIDER JURIDIQUEMENT]</t>
        </is>
      </c>
      <c r="E135" s="29" t="inlineStr">
        <is>
          <t>DGS</t>
        </is>
      </c>
      <c r="F135" s="30" t="inlineStr">
        <is>
          <t>V1.0</t>
        </is>
      </c>
      <c r="G135" s="29" t="inlineStr">
        <is>
          <t>10_MARCHES_PUBLICS/14_Execution_Marche</t>
        </is>
      </c>
      <c r="H135" s="30" t="inlineStr">
        <is>
          <t>12</t>
        </is>
      </c>
      <c r="I135" s="30" t="inlineStr">
        <is>
          <t>Créé</t>
        </is>
      </c>
      <c r="J135" s="30" t="inlineStr">
        <is>
          <t>BROUILLON</t>
        </is>
      </c>
      <c r="K135" s="29" t="inlineStr">
        <is>
          <t>DGS-MAR-062-Demande-Avance.docx</t>
        </is>
      </c>
    </row>
    <row r="136" ht="23.85" customHeight="1" s="23">
      <c r="A136" s="28" t="inlineStr">
        <is>
          <t>DGS-MAR-063</t>
        </is>
      </c>
      <c r="B136" s="29" t="inlineStr">
        <is>
          <t>Situation de travaux (décompte provisoire)</t>
        </is>
      </c>
      <c r="C136" s="29" t="inlineStr">
        <is>
          <t>Marchés publics</t>
        </is>
      </c>
      <c r="D136" s="29" t="inlineStr">
        <is>
          <t>Présenter les travaux exécutés et le montant dû pour une période</t>
        </is>
      </c>
      <c r="E136" s="29" t="inlineStr">
        <is>
          <t>DGS + Service contractant</t>
        </is>
      </c>
      <c r="F136" s="30" t="inlineStr">
        <is>
          <t>V1.0</t>
        </is>
      </c>
      <c r="G136" s="29" t="inlineStr">
        <is>
          <t>10_MARCHES_PUBLICS/14_Execution_Marche</t>
        </is>
      </c>
      <c r="H136" s="30" t="inlineStr">
        <is>
          <t>12</t>
        </is>
      </c>
      <c r="I136" s="30" t="inlineStr">
        <is>
          <t>Créé</t>
        </is>
      </c>
      <c r="J136" s="30" t="inlineStr">
        <is>
          <t>BROUILLON</t>
        </is>
      </c>
      <c r="K136" s="29" t="inlineStr">
        <is>
          <t>DGS-MAR-063-Situation-Travaux-Decompte-Provisoire.docx</t>
        </is>
      </c>
    </row>
    <row r="137" ht="23.85" customHeight="1" s="23">
      <c r="A137" s="28" t="inlineStr">
        <is>
          <t>DGS-MAR-064</t>
        </is>
      </c>
      <c r="B137" s="29" t="inlineStr">
        <is>
          <t>Décompte définitif</t>
        </is>
      </c>
      <c r="C137" s="29" t="inlineStr">
        <is>
          <t>Marchés publics</t>
        </is>
      </c>
      <c r="D137" s="29" t="inlineStr">
        <is>
          <t>Arrêter le montant final dû au titre du marché</t>
        </is>
      </c>
      <c r="E137" s="29" t="inlineStr">
        <is>
          <t>DGS + Service contractant</t>
        </is>
      </c>
      <c r="F137" s="30" t="inlineStr">
        <is>
          <t>V1.0</t>
        </is>
      </c>
      <c r="G137" s="29" t="inlineStr">
        <is>
          <t>10_MARCHES_PUBLICS/15_Reception_Et_Cloture</t>
        </is>
      </c>
      <c r="H137" s="30" t="inlineStr">
        <is>
          <t>12</t>
        </is>
      </c>
      <c r="I137" s="30" t="inlineStr">
        <is>
          <t>Créé</t>
        </is>
      </c>
      <c r="J137" s="30" t="inlineStr">
        <is>
          <t>BROUILLON</t>
        </is>
      </c>
      <c r="K137" s="29" t="inlineStr">
        <is>
          <t>DGS-MAR-064-Decompte-Definitif.docx</t>
        </is>
      </c>
    </row>
    <row r="138" ht="23.85" customHeight="1" s="23">
      <c r="A138" s="28" t="inlineStr">
        <is>
          <t>DGS-MAR-065</t>
        </is>
      </c>
      <c r="B138" s="29" t="inlineStr">
        <is>
          <t>Demande de prorogation de délai</t>
        </is>
      </c>
      <c r="C138" s="29" t="inlineStr">
        <is>
          <t>Marchés publics</t>
        </is>
      </c>
      <c r="D138" s="29" t="inlineStr">
        <is>
          <t>Demander une prolongation du délai d’exécution avec justification</t>
        </is>
      </c>
      <c r="E138" s="29" t="inlineStr">
        <is>
          <t>DGS</t>
        </is>
      </c>
      <c r="F138" s="30" t="inlineStr">
        <is>
          <t>V1.0</t>
        </is>
      </c>
      <c r="G138" s="29" t="inlineStr">
        <is>
          <t>10_MARCHES_PUBLICS/14_Execution_Marche</t>
        </is>
      </c>
      <c r="H138" s="30" t="inlineStr">
        <is>
          <t>12</t>
        </is>
      </c>
      <c r="I138" s="30" t="inlineStr">
        <is>
          <t>Créé</t>
        </is>
      </c>
      <c r="J138" s="30" t="inlineStr">
        <is>
          <t>BROUILLON</t>
        </is>
      </c>
      <c r="K138" s="29" t="inlineStr">
        <is>
          <t>DGS-MAR-065-Demande-Prorogation-Delai.docx</t>
        </is>
      </c>
    </row>
    <row r="139" ht="23.85" customHeight="1" s="23">
      <c r="A139" s="28" t="inlineStr">
        <is>
          <t>DGS-MAR-066</t>
        </is>
      </c>
      <c r="B139" s="29" t="inlineStr">
        <is>
          <t>Demande d’avenant au marché</t>
        </is>
      </c>
      <c r="C139" s="29" t="inlineStr">
        <is>
          <t>Marchés publics</t>
        </is>
      </c>
      <c r="D139" s="29" t="inlineStr">
        <is>
          <t>Demander la modification du marché (prix, délai, consistance)</t>
        </is>
      </c>
      <c r="E139" s="29" t="inlineStr">
        <is>
          <t>DGS</t>
        </is>
      </c>
      <c r="F139" s="30" t="inlineStr">
        <is>
          <t>V1.0</t>
        </is>
      </c>
      <c r="G139" s="29" t="inlineStr">
        <is>
          <t>10_MARCHES_PUBLICS/14_Execution_Marche</t>
        </is>
      </c>
      <c r="H139" s="30" t="inlineStr">
        <is>
          <t>12</t>
        </is>
      </c>
      <c r="I139" s="30" t="inlineStr">
        <is>
          <t>Créé</t>
        </is>
      </c>
      <c r="J139" s="30" t="inlineStr">
        <is>
          <t>BROUILLON</t>
        </is>
      </c>
      <c r="K139" s="29" t="inlineStr">
        <is>
          <t>DGS-MAR-066-Demande-Avenant-Au-Marche.docx</t>
        </is>
      </c>
    </row>
    <row r="140" ht="23.85" customHeight="1" s="23">
      <c r="A140" s="28" t="inlineStr">
        <is>
          <t>DGS-MAR-067</t>
        </is>
      </c>
      <c r="B140" s="29" t="inlineStr">
        <is>
          <t>Demande de réception provisoire des travaux</t>
        </is>
      </c>
      <c r="C140" s="29" t="inlineStr">
        <is>
          <t>Marchés publics</t>
        </is>
      </c>
      <c r="D140" s="29" t="inlineStr">
        <is>
          <t>Demander la convocation à la réception des travaux</t>
        </is>
      </c>
      <c r="E140" s="29" t="inlineStr">
        <is>
          <t>DGS</t>
        </is>
      </c>
      <c r="F140" s="30" t="inlineStr">
        <is>
          <t>V1.0</t>
        </is>
      </c>
      <c r="G140" s="29" t="inlineStr">
        <is>
          <t>10_MARCHES_PUBLICS/15_Reception_Et_Cloture</t>
        </is>
      </c>
      <c r="H140" s="30" t="inlineStr">
        <is>
          <t>12</t>
        </is>
      </c>
      <c r="I140" s="30" t="inlineStr">
        <is>
          <t>Créé</t>
        </is>
      </c>
      <c r="J140" s="30" t="inlineStr">
        <is>
          <t>BROUILLON</t>
        </is>
      </c>
      <c r="K140" s="29" t="inlineStr">
        <is>
          <t>DGS-MAR-067-Demande-Reception-Provisoire-Travaux.docx</t>
        </is>
      </c>
    </row>
    <row r="141" ht="23.85" customHeight="1" s="23">
      <c r="A141" s="28" t="inlineStr">
        <is>
          <t>DGS-MAR-068</t>
        </is>
      </c>
      <c r="B141" s="29" t="inlineStr">
        <is>
          <t>Mémoire de réclamation</t>
        </is>
      </c>
      <c r="C141" s="29" t="inlineStr">
        <is>
          <t>Marchés publics</t>
        </is>
      </c>
      <c r="D141" s="29" t="inlineStr">
        <is>
          <t>Présenter et chiffrer une réclamation liée à l’exécution du marché</t>
        </is>
      </c>
      <c r="E141" s="29" t="inlineStr">
        <is>
          <t>DGS</t>
        </is>
      </c>
      <c r="F141" s="30" t="inlineStr">
        <is>
          <t>V1.0</t>
        </is>
      </c>
      <c r="G141" s="29" t="inlineStr">
        <is>
          <t>10_MARCHES_PUBLICS/14_Execution_Marche</t>
        </is>
      </c>
      <c r="H141" s="30" t="inlineStr">
        <is>
          <t>12</t>
        </is>
      </c>
      <c r="I141" s="30" t="inlineStr">
        <is>
          <t>Créé</t>
        </is>
      </c>
      <c r="J141" s="30" t="inlineStr">
        <is>
          <t>BROUILLON</t>
        </is>
      </c>
      <c r="K141" s="29" t="inlineStr">
        <is>
          <t>DGS-MAR-068-Memoire-Reclamation.docx</t>
        </is>
      </c>
    </row>
    <row r="142" ht="23.85" customHeight="1" s="23">
      <c r="A142" s="28" t="inlineStr">
        <is>
          <t>DGS-MAR-069</t>
        </is>
      </c>
      <c r="B142" s="29" t="inlineStr">
        <is>
          <t>Lettre de relance de paiement au service contractant</t>
        </is>
      </c>
      <c r="C142" s="29" t="inlineStr">
        <is>
          <t>Marchés publics</t>
        </is>
      </c>
      <c r="D142" s="29" t="inlineStr">
        <is>
          <t>Relancer le paiement d’une situation ou d’un décompte impayé</t>
        </is>
      </c>
      <c r="E142" s="29" t="inlineStr">
        <is>
          <t>DGS</t>
        </is>
      </c>
      <c r="F142" s="30" t="inlineStr">
        <is>
          <t>V1.0</t>
        </is>
      </c>
      <c r="G142" s="29" t="inlineStr">
        <is>
          <t>10_MARCHES_PUBLICS/14_Execution_Marche</t>
        </is>
      </c>
      <c r="H142" s="30" t="inlineStr">
        <is>
          <t>12</t>
        </is>
      </c>
      <c r="I142" s="30" t="inlineStr">
        <is>
          <t>Créé</t>
        </is>
      </c>
      <c r="J142" s="30" t="inlineStr">
        <is>
          <t>BROUILLON</t>
        </is>
      </c>
      <c r="K142" s="29" t="inlineStr">
        <is>
          <t>DGS-MAR-069-Lettre-Relance-Paiement-Au-Service-Contractant.docx</t>
        </is>
      </c>
    </row>
    <row r="143" ht="23.85" customHeight="1" s="23">
      <c r="A143" s="28" t="inlineStr">
        <is>
          <t>DGS-MAR-070</t>
        </is>
      </c>
      <c r="B143" s="29" t="inlineStr">
        <is>
          <t>Page de garde du dossier de soumission</t>
        </is>
      </c>
      <c r="C143" s="29" t="inlineStr">
        <is>
          <t>Marchés publics</t>
        </is>
      </c>
      <c r="D143" s="29" t="inlineStr">
        <is>
          <t>Identifier chaque enveloppe du dossier de soumission et en présenter le sommaire</t>
        </is>
      </c>
      <c r="E143" s="29" t="inlineStr">
        <is>
          <t>Soumissionnaire</t>
        </is>
      </c>
      <c r="F143" s="30" t="inlineStr">
        <is>
          <t>V1.0</t>
        </is>
      </c>
      <c r="G143" s="29" t="inlineStr">
        <is>
          <t>10_MARCHES_PUBLICS/10_Depot_Et_Controle</t>
        </is>
      </c>
      <c r="H143" s="30" t="inlineStr">
        <is>
          <t>14</t>
        </is>
      </c>
      <c r="I143" s="30" t="inlineStr">
        <is>
          <t>Créé</t>
        </is>
      </c>
      <c r="J143" s="30" t="inlineStr">
        <is>
          <t>BROUILLON</t>
        </is>
      </c>
      <c r="K143" s="29" t="inlineStr">
        <is>
          <t>DGS-MAR-070-Page-Garde-Dossier-Soumission.docx</t>
        </is>
      </c>
    </row>
    <row r="144" ht="23.85" customHeight="1" s="23">
      <c r="A144" s="28" t="inlineStr">
        <is>
          <t>DGS-MAR-071</t>
        </is>
      </c>
      <c r="B144" s="29" t="inlineStr">
        <is>
          <t>Modèle d’étiquettes pour les enveloppes de l’offre</t>
        </is>
      </c>
      <c r="C144" s="29" t="inlineStr">
        <is>
          <t>Marchés publics</t>
        </is>
      </c>
      <c r="D144" s="29" t="inlineStr">
        <is>
          <t>Préparer les mentions à porter sur l’enveloppe extérieure et sur les trois enveloppes intérieures</t>
        </is>
      </c>
      <c r="E144" s="29" t="inlineStr">
        <is>
          <t>Aucune</t>
        </is>
      </c>
      <c r="F144" s="30" t="inlineStr">
        <is>
          <t>V1.0</t>
        </is>
      </c>
      <c r="G144" s="29" t="inlineStr">
        <is>
          <t>10_MARCHES_PUBLICS/10_Depot_Et_Controle</t>
        </is>
      </c>
      <c r="H144" s="30" t="inlineStr">
        <is>
          <t>14</t>
        </is>
      </c>
      <c r="I144" s="30" t="inlineStr">
        <is>
          <t>Créé</t>
        </is>
      </c>
      <c r="J144" s="30" t="inlineStr">
        <is>
          <t>BROUILLON</t>
        </is>
      </c>
      <c r="K144" s="29" t="inlineStr">
        <is>
          <t>DGS-MAR-071-Modele-Etiquettes-Enveloppes.docx</t>
        </is>
      </c>
    </row>
    <row r="145" ht="23.85" customHeight="1" s="23">
      <c r="A145" s="28" t="inlineStr">
        <is>
          <t>DGS-MAR-072</t>
        </is>
      </c>
      <c r="B145" s="29" t="inlineStr">
        <is>
          <t>Bordereau de dépôt du dossier de soumission</t>
        </is>
      </c>
      <c r="C145" s="29" t="inlineStr">
        <is>
          <t>Marchés publics</t>
        </is>
      </c>
      <c r="D145" s="29" t="inlineStr">
        <is>
          <t>Faire constater par le service contractant le dépôt des plis (date, heure, nombre d’enveloppes) et conserver une décharge</t>
        </is>
      </c>
      <c r="E145" s="29" t="inlineStr">
        <is>
          <t>Soumissionnaire + Service contractant</t>
        </is>
      </c>
      <c r="F145" s="30" t="inlineStr">
        <is>
          <t>V1.0</t>
        </is>
      </c>
      <c r="G145" s="29" t="inlineStr">
        <is>
          <t>10_MARCHES_PUBLICS/10_Depot_Et_Controle</t>
        </is>
      </c>
      <c r="H145" s="30" t="inlineStr">
        <is>
          <t>14</t>
        </is>
      </c>
      <c r="I145" s="30" t="inlineStr">
        <is>
          <t>Créé</t>
        </is>
      </c>
      <c r="J145" s="30" t="inlineStr">
        <is>
          <t>BROUILLON</t>
        </is>
      </c>
      <c r="K145" s="29" t="inlineStr">
        <is>
          <t>DGS-MAR-072-Bordereau-Depot-Dossier-Soumission.docx</t>
        </is>
      </c>
    </row>
    <row r="146" ht="23.85" customHeight="1" s="23">
      <c r="A146" s="28" t="inlineStr">
        <is>
          <t>DGS-MAR-073</t>
        </is>
      </c>
      <c r="B146" s="29" t="inlineStr">
        <is>
          <t>Lettre de retrait ou de modification de l’offre</t>
        </is>
      </c>
      <c r="C146" s="29" t="inlineStr">
        <is>
          <t>Marchés publics</t>
        </is>
      </c>
      <c r="D146" s="29" t="inlineStr">
        <is>
          <t>Retirer ou modifier une offre déjà déposée, avant la date limite de dépôt</t>
        </is>
      </c>
      <c r="E146" s="29" t="inlineStr">
        <is>
          <t>DGS</t>
        </is>
      </c>
      <c r="F146" s="30" t="inlineStr">
        <is>
          <t>V1.0</t>
        </is>
      </c>
      <c r="G146" s="29" t="inlineStr">
        <is>
          <t>10_MARCHES_PUBLICS/10_Depot_Et_Controle</t>
        </is>
      </c>
      <c r="H146" s="30" t="inlineStr">
        <is>
          <t>14</t>
        </is>
      </c>
      <c r="I146" s="30" t="inlineStr">
        <is>
          <t>Créé</t>
        </is>
      </c>
      <c r="J146" s="30" t="inlineStr">
        <is>
          <t>BROUILLON</t>
        </is>
      </c>
      <c r="K146" s="29" t="inlineStr">
        <is>
          <t>DGS-MAR-073-Lettre-Retrait-Ou-Modification-Offre.docx</t>
        </is>
      </c>
    </row>
    <row r="147" ht="23.85" customHeight="1" s="23">
      <c r="A147" s="28" t="inlineStr">
        <is>
          <t>DGS-MAR-074</t>
        </is>
      </c>
      <c r="B147" s="29" t="inlineStr">
        <is>
          <t>Lettre de prolongation de la validité de l’offre</t>
        </is>
      </c>
      <c r="C147" s="29" t="inlineStr">
        <is>
          <t>Marchés publics</t>
        </is>
      </c>
      <c r="D147" s="29" t="inlineStr">
        <is>
          <t>Répondre à la demande du service contractant de prolonger la durée de validité de l’offre</t>
        </is>
      </c>
      <c r="E147" s="29" t="inlineStr">
        <is>
          <t>DGS</t>
        </is>
      </c>
      <c r="F147" s="30" t="inlineStr">
        <is>
          <t>V1.0</t>
        </is>
      </c>
      <c r="G147" s="29" t="inlineStr">
        <is>
          <t>10_MARCHES_PUBLICS/11_Resultats_Et_Recours</t>
        </is>
      </c>
      <c r="H147" s="30" t="inlineStr">
        <is>
          <t>14</t>
        </is>
      </c>
      <c r="I147" s="30" t="inlineStr">
        <is>
          <t>Créé</t>
        </is>
      </c>
      <c r="J147" s="30" t="inlineStr">
        <is>
          <t>BROUILLON</t>
        </is>
      </c>
      <c r="K147" s="29" t="inlineStr">
        <is>
          <t>DGS-MAR-074-Lettre-Prolongation-Validite-Offre.docx</t>
        </is>
      </c>
    </row>
    <row r="148" ht="23.85" customHeight="1" s="23">
      <c r="A148" s="28" t="inlineStr">
        <is>
          <t>DGS-MAR-075</t>
        </is>
      </c>
      <c r="B148" s="29" t="inlineStr">
        <is>
          <t>Fiche de suivi de la séance d’ouverture des plis</t>
        </is>
      </c>
      <c r="C148" s="29" t="inlineStr">
        <is>
          <t>Marchés publics</t>
        </is>
      </c>
      <c r="D148" s="29" t="inlineStr">
        <is>
          <t>Consigner ce qui est lu en séance publique d’ouverture des plis : offres, montants, pièces manquantes, réserves</t>
        </is>
      </c>
      <c r="E148" s="29" t="inlineStr">
        <is>
          <t>Représentant de DGS</t>
        </is>
      </c>
      <c r="F148" s="30" t="inlineStr">
        <is>
          <t>V1.0</t>
        </is>
      </c>
      <c r="G148" s="29" t="inlineStr">
        <is>
          <t>10_MARCHES_PUBLICS/11_Resultats_Et_Recours</t>
        </is>
      </c>
      <c r="H148" s="30" t="inlineStr">
        <is>
          <t>14</t>
        </is>
      </c>
      <c r="I148" s="30" t="inlineStr">
        <is>
          <t>Créé</t>
        </is>
      </c>
      <c r="J148" s="30" t="inlineStr">
        <is>
          <t>BROUILLON</t>
        </is>
      </c>
      <c r="K148" s="29" t="inlineStr">
        <is>
          <t>DGS-MAR-075-Fiche-Suivi-Seance-Ouverture-Plis.docx</t>
        </is>
      </c>
    </row>
    <row r="149" ht="23.85" customHeight="1" s="23">
      <c r="A149" s="28" t="inlineStr">
        <is>
          <t>DGS-MAR-076</t>
        </is>
      </c>
      <c r="B149" s="29" t="inlineStr">
        <is>
          <t>Lettre de réponse à une demande de complément de dossier ou de précisions</t>
        </is>
      </c>
      <c r="C149" s="29" t="inlineStr">
        <is>
          <t>Marchés publics</t>
        </is>
      </c>
      <c r="D149" s="29" t="inlineStr">
        <is>
          <t>Répondre dans le délai à la demande du service contractant ou de la commission de compléter une pièce ou de préciser un point</t>
        </is>
      </c>
      <c r="E149" s="29" t="inlineStr">
        <is>
          <t>DGS</t>
        </is>
      </c>
      <c r="F149" s="30" t="inlineStr">
        <is>
          <t>V1.0</t>
        </is>
      </c>
      <c r="G149" s="29" t="inlineStr">
        <is>
          <t>10_MARCHES_PUBLICS/11_Resultats_Et_Recours</t>
        </is>
      </c>
      <c r="H149" s="30" t="inlineStr">
        <is>
          <t>14</t>
        </is>
      </c>
      <c r="I149" s="30" t="inlineStr">
        <is>
          <t>Créé</t>
        </is>
      </c>
      <c r="J149" s="30" t="inlineStr">
        <is>
          <t>BROUILLON</t>
        </is>
      </c>
      <c r="K149" s="29" t="inlineStr">
        <is>
          <t>DGS-MAR-076-Lettre-Reponse-Demande-Complement-Dossier.docx</t>
        </is>
      </c>
    </row>
    <row r="150" ht="23.85" customHeight="1" s="23">
      <c r="A150" s="28" t="inlineStr">
        <is>
          <t>DGS-MAR-077</t>
        </is>
      </c>
      <c r="B150" s="29" t="inlineStr">
        <is>
          <t>Lettre de demande de communication des résultats de l’évaluation</t>
        </is>
      </c>
      <c r="C150" s="29" t="inlineStr">
        <is>
          <t>Marchés publics</t>
        </is>
      </c>
      <c r="D150" s="29" t="inlineStr">
        <is>
          <t>Demander les résultats de l’évaluation des offres et les motifs du classement de DGS</t>
        </is>
      </c>
      <c r="E150" s="29" t="inlineStr">
        <is>
          <t>DGS</t>
        </is>
      </c>
      <c r="F150" s="30" t="inlineStr">
        <is>
          <t>V1.0</t>
        </is>
      </c>
      <c r="G150" s="29" t="inlineStr">
        <is>
          <t>10_MARCHES_PUBLICS/11_Resultats_Et_Recours</t>
        </is>
      </c>
      <c r="H150" s="30" t="inlineStr">
        <is>
          <t>14</t>
        </is>
      </c>
      <c r="I150" s="30" t="inlineStr">
        <is>
          <t>Créé</t>
        </is>
      </c>
      <c r="J150" s="30" t="inlineStr">
        <is>
          <t>BROUILLON</t>
        </is>
      </c>
      <c r="K150" s="29" t="inlineStr">
        <is>
          <t>DGS-MAR-077-Lettre-Demande-Communication-Resultats-Evaluation.docx</t>
        </is>
      </c>
    </row>
    <row r="151" ht="23.85" customHeight="1" s="23">
      <c r="A151" s="28" t="inlineStr">
        <is>
          <t>DGS-MAR-078</t>
        </is>
      </c>
      <c r="B151" s="29" t="inlineStr">
        <is>
          <t>Fiche d’analyse du résultat et retour d’expérience</t>
        </is>
      </c>
      <c r="C151" s="29" t="inlineStr">
        <is>
          <t>Marchés publics</t>
        </is>
      </c>
      <c r="D151" s="29" t="inlineStr">
        <is>
          <t>Analyser le résultat d’un appel d’offres, comprendre les écarts et en tirer des actions d’amélioration</t>
        </is>
      </c>
      <c r="E151" s="29" t="inlineStr">
        <is>
          <t>Gérant</t>
        </is>
      </c>
      <c r="F151" s="30" t="inlineStr">
        <is>
          <t>V1.0</t>
        </is>
      </c>
      <c r="G151" s="29" t="inlineStr">
        <is>
          <t>10_MARCHES_PUBLICS/11_Resultats_Et_Recours</t>
        </is>
      </c>
      <c r="H151" s="30" t="inlineStr">
        <is>
          <t>14</t>
        </is>
      </c>
      <c r="I151" s="30" t="inlineStr">
        <is>
          <t>Créé</t>
        </is>
      </c>
      <c r="J151" s="30" t="inlineStr">
        <is>
          <t>BROUILLON</t>
        </is>
      </c>
      <c r="K151" s="29" t="inlineStr">
        <is>
          <t>DGS-MAR-078-Fiche-Analyse-Resultat-Retour-Experience.docx</t>
        </is>
      </c>
    </row>
    <row r="152" ht="23.85" customHeight="1" s="23">
      <c r="A152" s="28" t="inlineStr">
        <is>
          <t>DGS-MAR-079</t>
        </is>
      </c>
      <c r="B152" s="29" t="inlineStr">
        <is>
          <t>Lettre d’acceptation de l’attribution provisoire</t>
        </is>
      </c>
      <c r="C152" s="29" t="inlineStr">
        <is>
          <t>Marchés publics</t>
        </is>
      </c>
      <c r="D152" s="29" t="inlineStr">
        <is>
          <t>Confirmer au service contractant l’acceptation de l’attribution et s’engager à produire les pièces demandées</t>
        </is>
      </c>
      <c r="E152" s="29" t="inlineStr">
        <is>
          <t>DGS</t>
        </is>
      </c>
      <c r="F152" s="30" t="inlineStr">
        <is>
          <t>V1.0</t>
        </is>
      </c>
      <c r="G152" s="29" t="inlineStr">
        <is>
          <t>10_MARCHES_PUBLICS/13_Attribution_Et_Demarrage</t>
        </is>
      </c>
      <c r="H152" s="30" t="inlineStr">
        <is>
          <t>14</t>
        </is>
      </c>
      <c r="I152" s="30" t="inlineStr">
        <is>
          <t>Créé</t>
        </is>
      </c>
      <c r="J152" s="30" t="inlineStr">
        <is>
          <t>BROUILLON</t>
        </is>
      </c>
      <c r="K152" s="29" t="inlineStr">
        <is>
          <t>DGS-MAR-079-Lettre-Acceptation-Attribution-Provisoire.docx</t>
        </is>
      </c>
    </row>
    <row r="153" ht="23.85" customHeight="1" s="23">
      <c r="A153" s="28" t="inlineStr">
        <is>
          <t>DGS-MAR-080</t>
        </is>
      </c>
      <c r="B153" s="29" t="inlineStr">
        <is>
          <t>Fiche de lancement du marché</t>
        </is>
      </c>
      <c r="C153" s="29" t="inlineStr">
        <is>
          <t>Marchés publics</t>
        </is>
      </c>
      <c r="D153" s="29" t="inlineStr">
        <is>
          <t>Préparer l’exécution : équipe, budget cible, obligations clés et documents à produire avant le démarrage</t>
        </is>
      </c>
      <c r="E153" s="29" t="inlineStr">
        <is>
          <t>Chef de projet + Gérant</t>
        </is>
      </c>
      <c r="F153" s="30" t="inlineStr">
        <is>
          <t>V1.0</t>
        </is>
      </c>
      <c r="G153" s="29" t="inlineStr">
        <is>
          <t>10_MARCHES_PUBLICS/13_Attribution_Et_Demarrage</t>
        </is>
      </c>
      <c r="H153" s="30" t="inlineStr">
        <is>
          <t>14</t>
        </is>
      </c>
      <c r="I153" s="30" t="inlineStr">
        <is>
          <t>Créé</t>
        </is>
      </c>
      <c r="J153" s="30" t="inlineStr">
        <is>
          <t>BROUILLON</t>
        </is>
      </c>
      <c r="K153" s="29" t="inlineStr">
        <is>
          <t>DGS-MAR-080-Fiche-Lancement-Marche.docx</t>
        </is>
      </c>
    </row>
    <row r="154" ht="23.85" customHeight="1" s="23">
      <c r="A154" s="28" t="inlineStr">
        <is>
          <t>DGS-MAR-081</t>
        </is>
      </c>
      <c r="B154" s="29" t="inlineStr">
        <is>
          <t>Lettre de désignation du représentant de l’entreprise pour le marché</t>
        </is>
      </c>
      <c r="C154" s="29" t="inlineStr">
        <is>
          <t>Marchés publics</t>
        </is>
      </c>
      <c r="D154" s="29" t="inlineStr">
        <is>
          <t>Désigner auprès du service contractant la personne qui représente DGS pour l’exécution du marché</t>
        </is>
      </c>
      <c r="E154" s="29" t="inlineStr">
        <is>
          <t>Gérant</t>
        </is>
      </c>
      <c r="F154" s="30" t="inlineStr">
        <is>
          <t>V1.0</t>
        </is>
      </c>
      <c r="G154" s="29" t="inlineStr">
        <is>
          <t>10_MARCHES_PUBLICS/13_Attribution_Et_Demarrage</t>
        </is>
      </c>
      <c r="H154" s="30" t="inlineStr">
        <is>
          <t>14</t>
        </is>
      </c>
      <c r="I154" s="30" t="inlineStr">
        <is>
          <t>Créé</t>
        </is>
      </c>
      <c r="J154" s="30" t="inlineStr">
        <is>
          <t>BROUILLON</t>
        </is>
      </c>
      <c r="K154" s="29" t="inlineStr">
        <is>
          <t>DGS-MAR-081-Lettre-Designation-Representant-Entreprise.docx</t>
        </is>
      </c>
    </row>
    <row r="155" ht="23.85" customHeight="1" s="23">
      <c r="A155" s="28" t="inlineStr">
        <is>
          <t>DGS-MAR-082</t>
        </is>
      </c>
      <c r="B155" s="29" t="inlineStr">
        <is>
          <t>Lettre de transmission des attestations d’assurance</t>
        </is>
      </c>
      <c r="C155" s="29" t="inlineStr">
        <is>
          <t>Marchés publics</t>
        </is>
      </c>
      <c r="D155" s="29" t="inlineStr">
        <is>
          <t>Remettre au service contractant les attestations d’assurance exigées avant le démarrage des travaux</t>
        </is>
      </c>
      <c r="E155" s="29" t="inlineStr">
        <is>
          <t>DGS</t>
        </is>
      </c>
      <c r="F155" s="30" t="inlineStr">
        <is>
          <t>V1.0</t>
        </is>
      </c>
      <c r="G155" s="29" t="inlineStr">
        <is>
          <t>10_MARCHES_PUBLICS/13_Attribution_Et_Demarrage</t>
        </is>
      </c>
      <c r="H155" s="30" t="inlineStr">
        <is>
          <t>14</t>
        </is>
      </c>
      <c r="I155" s="30" t="inlineStr">
        <is>
          <t>Créé</t>
        </is>
      </c>
      <c r="J155" s="30" t="inlineStr">
        <is>
          <t>BROUILLON</t>
        </is>
      </c>
      <c r="K155" s="29" t="inlineStr">
        <is>
          <t>DGS-MAR-082-Lettre-Transmission-Attestations-Assurance.docx</t>
        </is>
      </c>
    </row>
    <row r="156" ht="23.85" customHeight="1" s="23">
      <c r="A156" s="28" t="inlineStr">
        <is>
          <t>DGS-MAR-083</t>
        </is>
      </c>
      <c r="B156" s="29" t="inlineStr">
        <is>
          <t>Programme d’exécution des travaux</t>
        </is>
      </c>
      <c r="C156" s="29" t="inlineStr">
        <is>
          <t>Marchés publics</t>
        </is>
      </c>
      <c r="D156" s="29" t="inlineStr">
        <is>
          <t>Présenter au service contractant le calendrier d’exécution mis à jour après l’ordre de service de démarrage</t>
        </is>
      </c>
      <c r="E156" s="29" t="inlineStr">
        <is>
          <t>Gérant</t>
        </is>
      </c>
      <c r="F156" s="30" t="inlineStr">
        <is>
          <t>V1.0</t>
        </is>
      </c>
      <c r="G156" s="29" t="inlineStr">
        <is>
          <t>10_MARCHES_PUBLICS/13_Attribution_Et_Demarrage</t>
        </is>
      </c>
      <c r="H156" s="30" t="inlineStr">
        <is>
          <t>14</t>
        </is>
      </c>
      <c r="I156" s="30" t="inlineStr">
        <is>
          <t>Créé</t>
        </is>
      </c>
      <c r="J156" s="30" t="inlineStr">
        <is>
          <t>BROUILLON</t>
        </is>
      </c>
      <c r="K156" s="29" t="inlineStr">
        <is>
          <t>DGS-MAR-083-Programme-Execution-Travaux.docx</t>
        </is>
      </c>
    </row>
    <row r="157" ht="23.85" customHeight="1" s="23">
      <c r="A157" s="28" t="inlineStr">
        <is>
          <t>DGS-MAR-084</t>
        </is>
      </c>
      <c r="B157" s="29" t="inlineStr">
        <is>
          <t>Lettre de renonciation à soumissionner</t>
        </is>
      </c>
      <c r="C157" s="29" t="inlineStr">
        <is>
          <t>Marchés publics</t>
        </is>
      </c>
      <c r="D157" s="29" t="inlineStr">
        <is>
          <t>Informer le service contractant que DGS ne déposera pas d’offre après avoir retiré le cahier des charges</t>
        </is>
      </c>
      <c r="E157" s="29" t="inlineStr">
        <is>
          <t>DGS</t>
        </is>
      </c>
      <c r="F157" s="30" t="inlineStr">
        <is>
          <t>V1.0</t>
        </is>
      </c>
      <c r="G157" s="29" t="inlineStr">
        <is>
          <t>10_MARCHES_PUBLICS/01_Veille_Et_Decision</t>
        </is>
      </c>
      <c r="H157" s="30" t="inlineStr">
        <is>
          <t>14</t>
        </is>
      </c>
      <c r="I157" s="30" t="inlineStr">
        <is>
          <t>Créé</t>
        </is>
      </c>
      <c r="J157" s="30" t="inlineStr">
        <is>
          <t>BROUILLON</t>
        </is>
      </c>
      <c r="K157" s="29" t="inlineStr">
        <is>
          <t>DGS-MAR-084-Lettre-Renonciation-Soumissionner.docx</t>
        </is>
      </c>
    </row>
    <row r="158" ht="23.85" customHeight="1" s="23">
      <c r="A158" s="28" t="inlineStr">
        <is>
          <t>DGS-MAR-085</t>
        </is>
      </c>
      <c r="B158" s="29" t="inlineStr">
        <is>
          <t>Registre des pièces administratives et de leur validité</t>
        </is>
      </c>
      <c r="C158" s="29" t="inlineStr">
        <is>
          <t>Marchés publics</t>
        </is>
      </c>
      <c r="D158" s="29" t="inlineStr">
        <is>
          <t>Suivre les pièces administratives de DGS et leurs dates d’expiration pour qu’elles soient valides au dépôt</t>
        </is>
      </c>
      <c r="E158" s="29" t="inlineStr">
        <is>
          <t>Aucune (registre interne)</t>
        </is>
      </c>
      <c r="F158" s="30" t="inlineStr">
        <is>
          <t>V1.0</t>
        </is>
      </c>
      <c r="G158" s="29" t="inlineStr">
        <is>
          <t>10_MARCHES_PUBLICS/06_Pieces_Administratives</t>
        </is>
      </c>
      <c r="H158" s="30" t="inlineStr">
        <is>
          <t>14</t>
        </is>
      </c>
      <c r="I158" s="30" t="inlineStr">
        <is>
          <t>Créé</t>
        </is>
      </c>
      <c r="J158" s="30" t="inlineStr">
        <is>
          <t>BROUILLON</t>
        </is>
      </c>
      <c r="K158" s="29" t="inlineStr">
        <is>
          <t>DGS-MAR-085-Registre-Pieces-Administratives-Validite.docx</t>
        </is>
      </c>
    </row>
    <row r="159" ht="23.85" customHeight="1" s="23">
      <c r="A159" s="28" t="inlineStr">
        <is>
          <t>DGS-MAR-086</t>
        </is>
      </c>
      <c r="B159" s="29" t="inlineStr">
        <is>
          <t>Lettre de demande d’attestations administratives</t>
        </is>
      </c>
      <c r="C159" s="29" t="inlineStr">
        <is>
          <t>Marchés publics</t>
        </is>
      </c>
      <c r="D159" s="29" t="inlineStr">
        <is>
          <t>Demander à un organisme (impôts, CNAS, CASNOS, CACOBATPH, CNRC) une attestation nécessaire à un dossier d’appel d’offres</t>
        </is>
      </c>
      <c r="E159" s="29" t="inlineStr">
        <is>
          <t>DGS</t>
        </is>
      </c>
      <c r="F159" s="30" t="inlineStr">
        <is>
          <t>V1.0</t>
        </is>
      </c>
      <c r="G159" s="29" t="inlineStr">
        <is>
          <t>10_MARCHES_PUBLICS/06_Pieces_Administratives</t>
        </is>
      </c>
      <c r="H159" s="30" t="inlineStr">
        <is>
          <t>14</t>
        </is>
      </c>
      <c r="I159" s="30" t="inlineStr">
        <is>
          <t>Créé</t>
        </is>
      </c>
      <c r="J159" s="30" t="inlineStr">
        <is>
          <t>BROUILLON</t>
        </is>
      </c>
      <c r="K159" s="29" t="inlineStr">
        <is>
          <t>DGS-MAR-086-Lettre-Demande-Attestations-Administratives.docx</t>
        </is>
      </c>
    </row>
    <row r="160" ht="23.85" customHeight="1" s="23">
      <c r="A160" s="28" t="inlineStr">
        <is>
          <t>DGS-MAR-087</t>
        </is>
      </c>
      <c r="B160" s="29" t="inlineStr">
        <is>
          <t>Demande d’attestation bancaire de capacité financière</t>
        </is>
      </c>
      <c r="C160" s="29" t="inlineStr">
        <is>
          <t>Marchés publics</t>
        </is>
      </c>
      <c r="D160" s="29" t="inlineStr">
        <is>
          <t>Demander à la banque une attestation de solvabilité ou de capacité financière exigée par un appel d’offres</t>
        </is>
      </c>
      <c r="E160" s="29" t="inlineStr">
        <is>
          <t>DGS</t>
        </is>
      </c>
      <c r="F160" s="30" t="inlineStr">
        <is>
          <t>V1.0</t>
        </is>
      </c>
      <c r="G160" s="29" t="inlineStr">
        <is>
          <t>10_MARCHES_PUBLICS/06_Pieces_Administratives</t>
        </is>
      </c>
      <c r="H160" s="30" t="inlineStr">
        <is>
          <t>14</t>
        </is>
      </c>
      <c r="I160" s="30" t="inlineStr">
        <is>
          <t>Créé</t>
        </is>
      </c>
      <c r="J160" s="30" t="inlineStr">
        <is>
          <t>BROUILLON</t>
        </is>
      </c>
      <c r="K160" s="29" t="inlineStr">
        <is>
          <t>DGS-MAR-087-Demande-Attestation-Bancaire-Capacite-Financiere.docx</t>
        </is>
      </c>
    </row>
    <row r="161" ht="23.85" customHeight="1" s="23">
      <c r="A161" s="28" t="inlineStr">
        <is>
          <t>DGS-MAR-088</t>
        </is>
      </c>
      <c r="B161" s="29" t="inlineStr">
        <is>
          <t>Sommaire du dossier de candidature</t>
        </is>
      </c>
      <c r="C161" s="29" t="inlineStr">
        <is>
          <t>Marchés publics</t>
        </is>
      </c>
      <c r="D161" s="29" t="inlineStr">
        <is>
          <t>Lister et paginer toutes les pièces de l’enveloppe « dossier de candidature »</t>
        </is>
      </c>
      <c r="E161" s="29" t="inlineStr">
        <is>
          <t>Candidat</t>
        </is>
      </c>
      <c r="F161" s="30" t="inlineStr">
        <is>
          <t>V1.0</t>
        </is>
      </c>
      <c r="G161" s="29" t="inlineStr">
        <is>
          <t>10_MARCHES_PUBLICS/06_Pieces_Administratives</t>
        </is>
      </c>
      <c r="H161" s="30" t="inlineStr">
        <is>
          <t>14</t>
        </is>
      </c>
      <c r="I161" s="30" t="inlineStr">
        <is>
          <t>Créé</t>
        </is>
      </c>
      <c r="J161" s="30" t="inlineStr">
        <is>
          <t>BROUILLON</t>
        </is>
      </c>
      <c r="K161" s="29" t="inlineStr">
        <is>
          <t>DGS-MAR-088-Sommaire-Dossier-Candidature.docx</t>
        </is>
      </c>
    </row>
    <row r="162" ht="23.85" customHeight="1" s="23">
      <c r="A162" s="28" t="inlineStr">
        <is>
          <t>DGS-MAR-089</t>
        </is>
      </c>
      <c r="B162" s="29" t="inlineStr">
        <is>
          <t>Lettre de demande de report de la date de dépôt des offres</t>
        </is>
      </c>
      <c r="C162" s="29" t="inlineStr">
        <is>
          <t>Marchés publics</t>
        </is>
      </c>
      <c r="D162" s="29" t="inlineStr">
        <is>
          <t>Demander au service contractant un report de la date limite de dépôt des offres</t>
        </is>
      </c>
      <c r="E162" s="29" t="inlineStr">
        <is>
          <t>DGS</t>
        </is>
      </c>
      <c r="F162" s="30" t="inlineStr">
        <is>
          <t>V1.0</t>
        </is>
      </c>
      <c r="G162" s="29" t="inlineStr">
        <is>
          <t>10_MARCHES_PUBLICS/02_Visite_Et_Eclaircissements</t>
        </is>
      </c>
      <c r="H162" s="30" t="inlineStr">
        <is>
          <t>14</t>
        </is>
      </c>
      <c r="I162" s="30" t="inlineStr">
        <is>
          <t>Créé</t>
        </is>
      </c>
      <c r="J162" s="30" t="inlineStr">
        <is>
          <t>BROUILLON</t>
        </is>
      </c>
      <c r="K162" s="29" t="inlineStr">
        <is>
          <t>DGS-MAR-089-Lettre-Demande-Report-Date-Depot-Offres.docx</t>
        </is>
      </c>
    </row>
    <row r="163" ht="23.85" customHeight="1" s="23">
      <c r="A163" s="28" t="inlineStr">
        <is>
          <t>DGS-MAR-090</t>
        </is>
      </c>
      <c r="B163" s="29" t="inlineStr">
        <is>
          <t>Lettre de réponse à une consultation</t>
        </is>
      </c>
      <c r="C163" s="29" t="inlineStr">
        <is>
          <t>Marchés publics</t>
        </is>
      </c>
      <c r="D163" s="29" t="inlineStr">
        <is>
          <t>Remettre une offre de prix en réponse à une consultation ou à une invitation du service contractant</t>
        </is>
      </c>
      <c r="E163" s="29" t="inlineStr">
        <is>
          <t>DGS</t>
        </is>
      </c>
      <c r="F163" s="30" t="inlineStr">
        <is>
          <t>V1.0</t>
        </is>
      </c>
      <c r="G163" s="29" t="inlineStr">
        <is>
          <t>10_MARCHES_PUBLICS/12_Procedures_Simplifiees</t>
        </is>
      </c>
      <c r="H163" s="30" t="inlineStr">
        <is>
          <t>14</t>
        </is>
      </c>
      <c r="I163" s="30" t="inlineStr">
        <is>
          <t>Créé</t>
        </is>
      </c>
      <c r="J163" s="30" t="inlineStr">
        <is>
          <t>BROUILLON</t>
        </is>
      </c>
      <c r="K163" s="29" t="inlineStr">
        <is>
          <t>DGS-MAR-090-Lettre-Reponse-Consultation.docx</t>
        </is>
      </c>
    </row>
    <row r="164" ht="23.85" customHeight="1" s="23">
      <c r="A164" s="28" t="inlineStr">
        <is>
          <t>DGS-MAR-091</t>
        </is>
      </c>
      <c r="B164" s="29" t="inlineStr">
        <is>
          <t>Facture proforma</t>
        </is>
      </c>
      <c r="C164" s="29" t="inlineStr">
        <is>
          <t>Marchés publics</t>
        </is>
      </c>
      <c r="D164" s="29" t="inlineStr">
        <is>
          <t>Établir un document de prix détaillé avant commande ou avant la signature d’un marché de gré à gré</t>
        </is>
      </c>
      <c r="E164" s="29" t="inlineStr">
        <is>
          <t>DGS</t>
        </is>
      </c>
      <c r="F164" s="30" t="inlineStr">
        <is>
          <t>V1.0</t>
        </is>
      </c>
      <c r="G164" s="29" t="inlineStr">
        <is>
          <t>10_MARCHES_PUBLICS/12_Procedures_Simplifiees</t>
        </is>
      </c>
      <c r="H164" s="30" t="inlineStr">
        <is>
          <t>14</t>
        </is>
      </c>
      <c r="I164" s="30" t="inlineStr">
        <is>
          <t>Créé</t>
        </is>
      </c>
      <c r="J164" s="30" t="inlineStr">
        <is>
          <t>BROUILLON</t>
        </is>
      </c>
      <c r="K164" s="29" t="inlineStr">
        <is>
          <t>DGS-MAR-091-Facture-Proforma.docx</t>
        </is>
      </c>
    </row>
    <row r="165" ht="23.85" customHeight="1" s="23">
      <c r="A165" s="28" t="inlineStr">
        <is>
          <t>DGS-MAR-092</t>
        </is>
      </c>
      <c r="B165" s="29" t="inlineStr">
        <is>
          <t>Accusé de réception de bon de commande</t>
        </is>
      </c>
      <c r="C165" s="29" t="inlineStr">
        <is>
          <t>Marchés publics</t>
        </is>
      </c>
      <c r="D165" s="29" t="inlineStr">
        <is>
          <t>Accuser réception d’une commande publique et confirmer les délais et conditions d’exécution</t>
        </is>
      </c>
      <c r="E165" s="29" t="inlineStr">
        <is>
          <t>DGS</t>
        </is>
      </c>
      <c r="F165" s="30" t="inlineStr">
        <is>
          <t>V1.0</t>
        </is>
      </c>
      <c r="G165" s="29" t="inlineStr">
        <is>
          <t>10_MARCHES_PUBLICS/12_Procedures_Simplifiees</t>
        </is>
      </c>
      <c r="H165" s="30" t="inlineStr">
        <is>
          <t>14</t>
        </is>
      </c>
      <c r="I165" s="30" t="inlineStr">
        <is>
          <t>Créé</t>
        </is>
      </c>
      <c r="J165" s="30" t="inlineStr">
        <is>
          <t>BROUILLON</t>
        </is>
      </c>
      <c r="K165" s="29" t="inlineStr">
        <is>
          <t>DGS-MAR-092-Accuse-Reception-Bon-Commande.docx</t>
        </is>
      </c>
    </row>
    <row r="166" ht="23.85" customHeight="1" s="23">
      <c r="A166" s="28" t="inlineStr">
        <is>
          <t>DGS-MAR-093</t>
        </is>
      </c>
      <c r="B166" s="29" t="inlineStr">
        <is>
          <t>Bon de livraison au service contractant</t>
        </is>
      </c>
      <c r="C166" s="29" t="inlineStr">
        <is>
          <t>Marchés publics</t>
        </is>
      </c>
      <c r="D166" s="29" t="inlineStr">
        <is>
          <t>Constater la livraison de fournitures ou matériaux commandés par un service contractant, avec réception signée</t>
        </is>
      </c>
      <c r="E166" s="29" t="inlineStr">
        <is>
          <t>DGS + Service contractant</t>
        </is>
      </c>
      <c r="F166" s="30" t="inlineStr">
        <is>
          <t>V1.0</t>
        </is>
      </c>
      <c r="G166" s="29" t="inlineStr">
        <is>
          <t>10_MARCHES_PUBLICS/12_Procedures_Simplifiees</t>
        </is>
      </c>
      <c r="H166" s="30" t="inlineStr">
        <is>
          <t>14</t>
        </is>
      </c>
      <c r="I166" s="30" t="inlineStr">
        <is>
          <t>Créé</t>
        </is>
      </c>
      <c r="J166" s="30" t="inlineStr">
        <is>
          <t>BROUILLON</t>
        </is>
      </c>
      <c r="K166" s="29" t="inlineStr">
        <is>
          <t>DGS-MAR-093-Bon-Livraison-Service-Contractant.docx</t>
        </is>
      </c>
    </row>
    <row r="167" ht="23.85" customHeight="1" s="23">
      <c r="A167" s="28" t="inlineStr">
        <is>
          <t>DGS-MAR-094</t>
        </is>
      </c>
      <c r="B167" s="29" t="inlineStr">
        <is>
          <t>Lettre de rappel pour l’ordre de service de démarrage</t>
        </is>
      </c>
      <c r="C167" s="29" t="inlineStr">
        <is>
          <t>Marchés publics</t>
        </is>
      </c>
      <c r="D167" s="29" t="inlineStr">
        <is>
          <t>Rappeler au service contractant que l’ordre de service n’a pas été notifié et réserver les droits de DGS</t>
        </is>
      </c>
      <c r="E167" s="29" t="inlineStr">
        <is>
          <t>DGS</t>
        </is>
      </c>
      <c r="F167" s="30" t="inlineStr">
        <is>
          <t>V1.0</t>
        </is>
      </c>
      <c r="G167" s="29" t="inlineStr">
        <is>
          <t>10_MARCHES_PUBLICS/13_Attribution_Et_Demarrage</t>
        </is>
      </c>
      <c r="H167" s="30" t="inlineStr">
        <is>
          <t>14</t>
        </is>
      </c>
      <c r="I167" s="30" t="inlineStr">
        <is>
          <t>Créé</t>
        </is>
      </c>
      <c r="J167" s="30" t="inlineStr">
        <is>
          <t>BROUILLON</t>
        </is>
      </c>
      <c r="K167" s="29" t="inlineStr">
        <is>
          <t>DGS-MAR-094-Lettre-Rappel-Ordre-Service-Demarrage.docx</t>
        </is>
      </c>
    </row>
    <row r="168" ht="23.85" customHeight="1" s="23">
      <c r="A168" s="28" t="inlineStr">
        <is>
          <t>DGS-MAR-095</t>
        </is>
      </c>
      <c r="B168" s="29" t="inlineStr">
        <is>
          <t>Lettre de réserves de l’entrepreneur</t>
        </is>
      </c>
      <c r="C168" s="29" t="inlineStr">
        <is>
          <t>Marchés publics</t>
        </is>
      </c>
      <c r="D168" s="29" t="inlineStr">
        <is>
          <t>Formuler par écrit et dans les délais des réserves sur un ordre de service, un constat ou une décision du service contractant</t>
        </is>
      </c>
      <c r="E168" s="29" t="inlineStr">
        <is>
          <t>DGS</t>
        </is>
      </c>
      <c r="F168" s="30" t="inlineStr">
        <is>
          <t>V1.0</t>
        </is>
      </c>
      <c r="G168" s="29" t="inlineStr">
        <is>
          <t>10_MARCHES_PUBLICS/14_Execution_Marche</t>
        </is>
      </c>
      <c r="H168" s="30" t="inlineStr">
        <is>
          <t>14</t>
        </is>
      </c>
      <c r="I168" s="30" t="inlineStr">
        <is>
          <t>Créé</t>
        </is>
      </c>
      <c r="J168" s="30" t="inlineStr">
        <is>
          <t>BROUILLON</t>
        </is>
      </c>
      <c r="K168" s="29" t="inlineStr">
        <is>
          <t>DGS-MAR-095-Lettre-Reserves-Entrepreneur.docx</t>
        </is>
      </c>
    </row>
    <row r="169" ht="23.85" customHeight="1" s="23">
      <c r="A169" s="28" t="inlineStr">
        <is>
          <t>DGS-MAR-096</t>
        </is>
      </c>
      <c r="B169" s="29" t="inlineStr">
        <is>
          <t>Demande de révision des prix</t>
        </is>
      </c>
      <c r="C169" s="29" t="inlineStr">
        <is>
          <t>Marchés publics</t>
        </is>
      </c>
      <c r="D169" s="29" t="inlineStr">
        <is>
          <t>Demander la révision du prix du marché lorsque le marché la prévoit, sur la base des indices contractuels</t>
        </is>
      </c>
      <c r="E169" s="29" t="inlineStr">
        <is>
          <t>DGS</t>
        </is>
      </c>
      <c r="F169" s="30" t="inlineStr">
        <is>
          <t>V1.0</t>
        </is>
      </c>
      <c r="G169" s="29" t="inlineStr">
        <is>
          <t>10_MARCHES_PUBLICS/14_Execution_Marche</t>
        </is>
      </c>
      <c r="H169" s="30" t="inlineStr">
        <is>
          <t>14</t>
        </is>
      </c>
      <c r="I169" s="30" t="inlineStr">
        <is>
          <t>Créé</t>
        </is>
      </c>
      <c r="J169" s="30" t="inlineStr">
        <is>
          <t>BROUILLON</t>
        </is>
      </c>
      <c r="K169" s="29" t="inlineStr">
        <is>
          <t>DGS-MAR-096-Demande-Revision-Prix.docx</t>
        </is>
      </c>
    </row>
    <row r="170" ht="23.85" customHeight="1" s="23">
      <c r="A170" s="28" t="inlineStr">
        <is>
          <t>DGS-MAR-097</t>
        </is>
      </c>
      <c r="B170" s="29" t="inlineStr">
        <is>
          <t>Demande d’intérêts moratoires</t>
        </is>
      </c>
      <c r="C170" s="29" t="inlineStr">
        <is>
          <t>Marchés publics</t>
        </is>
      </c>
      <c r="D170" s="29" t="inlineStr">
        <is>
          <t>Réclamer les intérêts dus en cas de retard de paiement d’une situation ou d’un décompte</t>
        </is>
      </c>
      <c r="E170" s="29" t="inlineStr">
        <is>
          <t>DGS</t>
        </is>
      </c>
      <c r="F170" s="30" t="inlineStr">
        <is>
          <t>V1.0</t>
        </is>
      </c>
      <c r="G170" s="29" t="inlineStr">
        <is>
          <t>10_MARCHES_PUBLICS/14_Execution_Marche</t>
        </is>
      </c>
      <c r="H170" s="30" t="inlineStr">
        <is>
          <t>14</t>
        </is>
      </c>
      <c r="I170" s="30" t="inlineStr">
        <is>
          <t>Créé</t>
        </is>
      </c>
      <c r="J170" s="30" t="inlineStr">
        <is>
          <t>BROUILLON</t>
        </is>
      </c>
      <c r="K170" s="29" t="inlineStr">
        <is>
          <t>DGS-MAR-097-Demande-Interets-Moratoires.docx</t>
        </is>
      </c>
    </row>
    <row r="171" ht="23.85" customHeight="1" s="23">
      <c r="A171" s="28" t="inlineStr">
        <is>
          <t>DGS-MAR-098</t>
        </is>
      </c>
      <c r="B171" s="29" t="inlineStr">
        <is>
          <t>Demande de suspension des travaux</t>
        </is>
      </c>
      <c r="C171" s="29" t="inlineStr">
        <is>
          <t>Marchés publics</t>
        </is>
      </c>
      <c r="D171" s="29" t="inlineStr">
        <is>
          <t>Informer le service contractant de la suspension des travaux pour un motif justifié (non-paiement, force majeure, empêchement)</t>
        </is>
      </c>
      <c r="E171" s="29" t="inlineStr">
        <is>
          <t>DGS</t>
        </is>
      </c>
      <c r="F171" s="30" t="inlineStr">
        <is>
          <t>V1.0</t>
        </is>
      </c>
      <c r="G171" s="29" t="inlineStr">
        <is>
          <t>10_MARCHES_PUBLICS/14_Execution_Marche</t>
        </is>
      </c>
      <c r="H171" s="30" t="inlineStr">
        <is>
          <t>14</t>
        </is>
      </c>
      <c r="I171" s="30" t="inlineStr">
        <is>
          <t>Créé</t>
        </is>
      </c>
      <c r="J171" s="30" t="inlineStr">
        <is>
          <t>BROUILLON</t>
        </is>
      </c>
      <c r="K171" s="29" t="inlineStr">
        <is>
          <t>DGS-MAR-098-Demande-Suspension-Travaux.docx</t>
        </is>
      </c>
    </row>
    <row r="172" ht="23.85" customHeight="1" s="23">
      <c r="A172" s="28" t="inlineStr">
        <is>
          <t>DGS-MAR-099</t>
        </is>
      </c>
      <c r="B172" s="29" t="inlineStr">
        <is>
          <t>Tableau de bord de suivi d’exécution du marché</t>
        </is>
      </c>
      <c r="C172" s="29" t="inlineStr">
        <is>
          <t>Marchés publics</t>
        </is>
      </c>
      <c r="D172" s="29" t="inlineStr">
        <is>
          <t>Suivre en un seul document les délais, montants, situations, avenants et garanties d’un marché en cours</t>
        </is>
      </c>
      <c r="E172" s="29" t="inlineStr">
        <is>
          <t>Aucune (suivi interne)</t>
        </is>
      </c>
      <c r="F172" s="30" t="inlineStr">
        <is>
          <t>V1.0</t>
        </is>
      </c>
      <c r="G172" s="29" t="inlineStr">
        <is>
          <t>10_MARCHES_PUBLICS/14_Execution_Marche</t>
        </is>
      </c>
      <c r="H172" s="30" t="inlineStr">
        <is>
          <t>14</t>
        </is>
      </c>
      <c r="I172" s="30" t="inlineStr">
        <is>
          <t>Créé</t>
        </is>
      </c>
      <c r="J172" s="30" t="inlineStr">
        <is>
          <t>BROUILLON</t>
        </is>
      </c>
      <c r="K172" s="29" t="inlineStr">
        <is>
          <t>DGS-MAR-099-Tableau-Bord-Suivi-Execution-Marche.docx</t>
        </is>
      </c>
    </row>
    <row r="173" ht="23.85" customHeight="1" s="23">
      <c r="A173" s="28" t="inlineStr">
        <is>
          <t>DGS-MAR-100</t>
        </is>
      </c>
      <c r="B173" s="29" t="inlineStr">
        <is>
          <t>Registre des correspondances et ordres de service du marché</t>
        </is>
      </c>
      <c r="C173" s="29" t="inlineStr">
        <is>
          <t>Marchés publics</t>
        </is>
      </c>
      <c r="D173" s="29" t="inlineStr">
        <is>
          <t>Enregistrer chronologiquement les courriers, ordres de service et notifications échangés avec le service contractant</t>
        </is>
      </c>
      <c r="E173" s="29" t="inlineStr">
        <is>
          <t>Aucune (registre interne)</t>
        </is>
      </c>
      <c r="F173" s="30" t="inlineStr">
        <is>
          <t>V1.0</t>
        </is>
      </c>
      <c r="G173" s="29" t="inlineStr">
        <is>
          <t>10_MARCHES_PUBLICS/14_Execution_Marche</t>
        </is>
      </c>
      <c r="H173" s="30" t="inlineStr">
        <is>
          <t>14</t>
        </is>
      </c>
      <c r="I173" s="30" t="inlineStr">
        <is>
          <t>Créé</t>
        </is>
      </c>
      <c r="J173" s="30" t="inlineStr">
        <is>
          <t>BROUILLON</t>
        </is>
      </c>
      <c r="K173" s="29" t="inlineStr">
        <is>
          <t>DGS-MAR-100-Registre-Correspondances-Ordres-Service-Marche.docx</t>
        </is>
      </c>
    </row>
    <row r="174" ht="23.85" customHeight="1" s="23">
      <c r="A174" s="28" t="inlineStr">
        <is>
          <t>DGS-MAR-101</t>
        </is>
      </c>
      <c r="B174" s="29" t="inlineStr">
        <is>
          <t>Demande de réception définitive des travaux</t>
        </is>
      </c>
      <c r="C174" s="29" t="inlineStr">
        <is>
          <t>Marchés publics</t>
        </is>
      </c>
      <c r="D174" s="29" t="inlineStr">
        <is>
          <t>Demander la convocation à la réception définitive à l’expiration du délai de garantie</t>
        </is>
      </c>
      <c r="E174" s="29" t="inlineStr">
        <is>
          <t>DGS</t>
        </is>
      </c>
      <c r="F174" s="30" t="inlineStr">
        <is>
          <t>V1.0</t>
        </is>
      </c>
      <c r="G174" s="29" t="inlineStr">
        <is>
          <t>10_MARCHES_PUBLICS/15_Reception_Et_Cloture</t>
        </is>
      </c>
      <c r="H174" s="30" t="inlineStr">
        <is>
          <t>14</t>
        </is>
      </c>
      <c r="I174" s="30" t="inlineStr">
        <is>
          <t>Créé</t>
        </is>
      </c>
      <c r="J174" s="30" t="inlineStr">
        <is>
          <t>BROUILLON</t>
        </is>
      </c>
      <c r="K174" s="29" t="inlineStr">
        <is>
          <t>DGS-MAR-101-Demande-Reception-Definitive-Travaux.docx</t>
        </is>
      </c>
    </row>
    <row r="175" ht="23.85" customHeight="1" s="23">
      <c r="A175" s="28" t="inlineStr">
        <is>
          <t>DGS-MAR-102</t>
        </is>
      </c>
      <c r="B175" s="29" t="inlineStr">
        <is>
          <t>Tableau de suivi des réserves du marché</t>
        </is>
      </c>
      <c r="C175" s="29" t="inlineStr">
        <is>
          <t>Marchés publics</t>
        </is>
      </c>
      <c r="D175" s="29" t="inlineStr">
        <is>
          <t>Suivre chaque réserve émise à la réception, son responsable, son échéance et sa levée</t>
        </is>
      </c>
      <c r="E175" s="29" t="inlineStr">
        <is>
          <t>Chef de projet</t>
        </is>
      </c>
      <c r="F175" s="30" t="inlineStr">
        <is>
          <t>V1.0</t>
        </is>
      </c>
      <c r="G175" s="29" t="inlineStr">
        <is>
          <t>10_MARCHES_PUBLICS/15_Reception_Et_Cloture</t>
        </is>
      </c>
      <c r="H175" s="30" t="inlineStr">
        <is>
          <t>14</t>
        </is>
      </c>
      <c r="I175" s="30" t="inlineStr">
        <is>
          <t>Créé</t>
        </is>
      </c>
      <c r="J175" s="30" t="inlineStr">
        <is>
          <t>BROUILLON</t>
        </is>
      </c>
      <c r="K175" s="29" t="inlineStr">
        <is>
          <t>DGS-MAR-102-Tableau-Suivi-Reserves-Marche.docx</t>
        </is>
      </c>
    </row>
    <row r="176" ht="23.85" customHeight="1" s="23">
      <c r="A176" s="28" t="inlineStr">
        <is>
          <t>DGS-MAR-103</t>
        </is>
      </c>
      <c r="B176" s="29" t="inlineStr">
        <is>
          <t>Demande de certificat de bonne exécution du marché</t>
        </is>
      </c>
      <c r="C176" s="29" t="inlineStr">
        <is>
          <t>Marchés publics</t>
        </is>
      </c>
      <c r="D176" s="29" t="inlineStr">
        <is>
          <t>Demander au maître d’ouvrage une attestation de bonne exécution à la fin du marché, pour constituer une référence</t>
        </is>
      </c>
      <c r="E176" s="29" t="inlineStr">
        <is>
          <t>DGS</t>
        </is>
      </c>
      <c r="F176" s="30" t="inlineStr">
        <is>
          <t>V1.0</t>
        </is>
      </c>
      <c r="G176" s="29" t="inlineStr">
        <is>
          <t>10_MARCHES_PUBLICS/15_Reception_Et_Cloture</t>
        </is>
      </c>
      <c r="H176" s="30" t="inlineStr">
        <is>
          <t>14</t>
        </is>
      </c>
      <c r="I176" s="30" t="inlineStr">
        <is>
          <t>Créé</t>
        </is>
      </c>
      <c r="J176" s="30" t="inlineStr">
        <is>
          <t>BROUILLON</t>
        </is>
      </c>
      <c r="K176" s="29" t="inlineStr">
        <is>
          <t>DGS-MAR-103-Demande-Certificat-Bonne-Execution-Marche.docx</t>
        </is>
      </c>
    </row>
    <row r="177" ht="23.85" customHeight="1" s="23">
      <c r="A177" s="28" t="inlineStr">
        <is>
          <t>DGS-MAR-104</t>
        </is>
      </c>
      <c r="B177" s="29" t="inlineStr">
        <is>
          <t>Fiche de clôture du dossier de marché</t>
        </is>
      </c>
      <c r="C177" s="29" t="inlineStr">
        <is>
          <t>Marchés publics</t>
        </is>
      </c>
      <c r="D177" s="29" t="inlineStr">
        <is>
          <t>Vérifier que toutes les formalités de fin de marché sont accomplies avant d’archiver le dossier</t>
        </is>
      </c>
      <c r="E177" s="29" t="inlineStr">
        <is>
          <t>Chef de projet + Gérant</t>
        </is>
      </c>
      <c r="F177" s="30" t="inlineStr">
        <is>
          <t>V1.0</t>
        </is>
      </c>
      <c r="G177" s="29" t="inlineStr">
        <is>
          <t>10_MARCHES_PUBLICS/15_Reception_Et_Cloture</t>
        </is>
      </c>
      <c r="H177" s="30" t="inlineStr">
        <is>
          <t>14</t>
        </is>
      </c>
      <c r="I177" s="30" t="inlineStr">
        <is>
          <t>Créé</t>
        </is>
      </c>
      <c r="J177" s="30" t="inlineStr">
        <is>
          <t>BROUILLON</t>
        </is>
      </c>
      <c r="K177" s="29" t="inlineStr">
        <is>
          <t>DGS-MAR-104-Fiche-Cloture-Dossier-Marche.docx</t>
        </is>
      </c>
    </row>
    <row r="178" ht="23.85" customHeight="1" s="23">
      <c r="A178" s="28" t="inlineStr">
        <is>
          <t>DGS-MAR-105</t>
        </is>
      </c>
      <c r="B178" s="29" t="inlineStr">
        <is>
          <t>Attestation de visite des lieux</t>
        </is>
      </c>
      <c r="C178" s="29" t="inlineStr">
        <is>
          <t>Marchés publics</t>
        </is>
      </c>
      <c r="D178" s="29" t="inlineStr">
        <is>
          <t>Faire attester par le service contractant la visite des lieux effectuée par DGS avant la remise de l’offre</t>
        </is>
      </c>
      <c r="E178" s="29" t="inlineStr">
        <is>
          <t>Service contractant + DGS</t>
        </is>
      </c>
      <c r="F178" s="30" t="inlineStr">
        <is>
          <t>V1.0</t>
        </is>
      </c>
      <c r="G178" s="29" t="inlineStr">
        <is>
          <t>10_MARCHES_PUBLICS/02_Visite_Et_Eclaircissements</t>
        </is>
      </c>
      <c r="H178" s="30" t="inlineStr">
        <is>
          <t>14</t>
        </is>
      </c>
      <c r="I178" s="30" t="inlineStr">
        <is>
          <t>Créé</t>
        </is>
      </c>
      <c r="J178" s="30" t="inlineStr">
        <is>
          <t>BROUILLON</t>
        </is>
      </c>
      <c r="K178" s="29" t="inlineStr">
        <is>
          <t>DGS-MAR-105-Attestation-Visite-Lieux.docx</t>
        </is>
      </c>
    </row>
    <row r="179" ht="23.85" customHeight="1" s="23">
      <c r="A179" s="28" t="inlineStr">
        <is>
          <t>DGS-MAR-106</t>
        </is>
      </c>
      <c r="B179" s="29" t="inlineStr">
        <is>
          <t>Guide du parcours d’un appel d’offres</t>
        </is>
      </c>
      <c r="C179" s="29" t="inlineStr">
        <is>
          <t>Marchés publics</t>
        </is>
      </c>
      <c r="D179" s="29" t="inlineStr">
        <is>
          <t>Expliquer l’ordre des étapes d’un appel d’offres public et le dossier où se trouve chaque document</t>
        </is>
      </c>
      <c r="E179" s="29" t="inlineStr">
        <is>
          <t>Aucune</t>
        </is>
      </c>
      <c r="F179" s="30" t="inlineStr">
        <is>
          <t>V1.0</t>
        </is>
      </c>
      <c r="G179" s="29" t="inlineStr">
        <is>
          <t>10_MARCHES_PUBLICS/00_Guide</t>
        </is>
      </c>
      <c r="H179" s="30" t="inlineStr">
        <is>
          <t>14</t>
        </is>
      </c>
      <c r="I179" s="30" t="inlineStr">
        <is>
          <t>Créé</t>
        </is>
      </c>
      <c r="J179" s="30" t="inlineStr">
        <is>
          <t>BROUILLON</t>
        </is>
      </c>
      <c r="K179" s="29" t="inlineStr">
        <is>
          <t>DGS-MAR-106-Guide-Parcours-Appel-Offres.docx</t>
        </is>
      </c>
    </row>
    <row r="180" ht="23.85" customHeight="1" s="23">
      <c r="A180" s="28" t="inlineStr">
        <is>
          <t>DGS-QLT-001</t>
        </is>
      </c>
      <c r="B180" s="29" t="inlineStr">
        <is>
          <t>PV de réception des matériaux</t>
        </is>
      </c>
      <c r="C180" s="29" t="inlineStr">
        <is>
          <t>Matériaux</t>
        </is>
      </c>
      <c r="D180" s="29" t="inlineStr">
        <is>
          <t>Réceptionner les matériaux livrés sur chantier (quantité, état)</t>
        </is>
      </c>
      <c r="E180" s="29" t="inlineStr">
        <is>
          <t>DGS (+ Fournisseur)</t>
        </is>
      </c>
      <c r="F180" s="30" t="inlineStr">
        <is>
          <t>V1.0</t>
        </is>
      </c>
      <c r="G180" s="29" t="inlineStr">
        <is>
          <t>03_CHANTIERS/Materiaux</t>
        </is>
      </c>
      <c r="H180" s="30" t="inlineStr">
        <is>
          <t>4</t>
        </is>
      </c>
      <c r="I180" s="30" t="inlineStr">
        <is>
          <t>Créé</t>
        </is>
      </c>
      <c r="J180" s="30" t="inlineStr">
        <is>
          <t>BROUILLON</t>
        </is>
      </c>
      <c r="K180" s="29" t="inlineStr">
        <is>
          <t>DGS-QLT-001-PV-Reception-Materiaux.docx</t>
        </is>
      </c>
    </row>
    <row r="181" ht="23.85" customHeight="1" s="23">
      <c r="A181" s="28" t="inlineStr">
        <is>
          <t>DGS-QLT-002</t>
        </is>
      </c>
      <c r="B181" s="29" t="inlineStr">
        <is>
          <t>PV de contrôle qualité des matériaux</t>
        </is>
      </c>
      <c r="C181" s="29" t="inlineStr">
        <is>
          <t>Matériaux</t>
        </is>
      </c>
      <c r="D181" s="29" t="inlineStr">
        <is>
          <t>Vérifier la conformité des matériaux aux exigences convenues</t>
        </is>
      </c>
      <c r="E181" s="29" t="inlineStr">
        <is>
          <t>DGS (+ Client / BC)</t>
        </is>
      </c>
      <c r="F181" s="30" t="inlineStr">
        <is>
          <t>V1.0</t>
        </is>
      </c>
      <c r="G181" s="29" t="inlineStr">
        <is>
          <t>03_CHANTIERS/Materiaux</t>
        </is>
      </c>
      <c r="H181" s="30" t="inlineStr">
        <is>
          <t>4</t>
        </is>
      </c>
      <c r="I181" s="30" t="inlineStr">
        <is>
          <t>Créé</t>
        </is>
      </c>
      <c r="J181" s="30" t="inlineStr">
        <is>
          <t>BROUILLON</t>
        </is>
      </c>
      <c r="K181" s="29" t="inlineStr">
        <is>
          <t>DGS-QLT-002-PV-Controle-Qualite-Materiaux.docx</t>
        </is>
      </c>
    </row>
    <row r="182" ht="23.85" customHeight="1" s="23">
      <c r="A182" s="28" t="inlineStr">
        <is>
          <t>DGS-QLT-003</t>
        </is>
      </c>
      <c r="B182" s="29" t="inlineStr">
        <is>
          <t>PV de refus des matériaux</t>
        </is>
      </c>
      <c r="C182" s="29" t="inlineStr">
        <is>
          <t>Matériaux</t>
        </is>
      </c>
      <c r="D182" s="29" t="inlineStr">
        <is>
          <t>Consigner le refus de matériaux non conformes</t>
        </is>
      </c>
      <c r="E182" s="29" t="inlineStr">
        <is>
          <t>DGS (+ Fournisseur)</t>
        </is>
      </c>
      <c r="F182" s="30" t="inlineStr">
        <is>
          <t>V1.0</t>
        </is>
      </c>
      <c r="G182" s="29" t="inlineStr">
        <is>
          <t>03_CHANTIERS/Non_Conformites</t>
        </is>
      </c>
      <c r="H182" s="30" t="inlineStr">
        <is>
          <t>4</t>
        </is>
      </c>
      <c r="I182" s="30" t="inlineStr">
        <is>
          <t>Créé</t>
        </is>
      </c>
      <c r="J182" s="30" t="inlineStr">
        <is>
          <t>BROUILLON</t>
        </is>
      </c>
      <c r="K182" s="29" t="inlineStr">
        <is>
          <t>DGS-QLT-003-PV-Refus-Materiaux.docx</t>
        </is>
      </c>
    </row>
    <row r="183" ht="23.85" customHeight="1" s="23">
      <c r="A183" s="28" t="inlineStr">
        <is>
          <t>DGS-QLT-004</t>
        </is>
      </c>
      <c r="B183" s="29" t="inlineStr">
        <is>
          <t>Fiche de traçabilité matériau</t>
        </is>
      </c>
      <c r="C183" s="29" t="inlineStr">
        <is>
          <t>Matériaux</t>
        </is>
      </c>
      <c r="D183" s="29" t="inlineStr">
        <is>
          <t>Suivre origine, lot, livraison et emploi d’un matériau</t>
        </is>
      </c>
      <c r="E183" s="29" t="inlineStr">
        <is>
          <t>DGS</t>
        </is>
      </c>
      <c r="F183" s="30" t="inlineStr">
        <is>
          <t>V1.0</t>
        </is>
      </c>
      <c r="G183" s="29" t="inlineStr">
        <is>
          <t>03_CHANTIERS/Materiaux</t>
        </is>
      </c>
      <c r="H183" s="30" t="inlineStr">
        <is>
          <t>4</t>
        </is>
      </c>
      <c r="I183" s="30" t="inlineStr">
        <is>
          <t>Créé</t>
        </is>
      </c>
      <c r="J183" s="30" t="inlineStr">
        <is>
          <t>BROUILLON</t>
        </is>
      </c>
      <c r="K183" s="29" t="inlineStr">
        <is>
          <t>DGS-QLT-004-Fiche-Tracabilite-Materiau.docx</t>
        </is>
      </c>
    </row>
    <row r="184" ht="23.85" customHeight="1" s="23">
      <c r="A184" s="28" t="inlineStr">
        <is>
          <t>DGS-CHT-001</t>
        </is>
      </c>
      <c r="B184" s="29" t="inlineStr">
        <is>
          <t>Fiche projet</t>
        </is>
      </c>
      <c r="C184" s="29" t="inlineStr">
        <is>
          <t>Chantier</t>
        </is>
      </c>
      <c r="D184" s="29" t="inlineStr">
        <is>
          <t>Ouvrir et piloter le dossier projet / chantier</t>
        </is>
      </c>
      <c r="E184" s="29" t="inlineStr">
        <is>
          <t>DGS</t>
        </is>
      </c>
      <c r="F184" s="30" t="inlineStr">
        <is>
          <t>V1.0</t>
        </is>
      </c>
      <c r="G184" s="29" t="inlineStr">
        <is>
          <t>03_CHANTIERS/Lancement</t>
        </is>
      </c>
      <c r="H184" s="30" t="inlineStr">
        <is>
          <t>1</t>
        </is>
      </c>
      <c r="I184" s="30" t="inlineStr">
        <is>
          <t>Créé</t>
        </is>
      </c>
      <c r="J184" s="30" t="inlineStr">
        <is>
          <t>BROUILLON</t>
        </is>
      </c>
      <c r="K184" s="29" t="inlineStr">
        <is>
          <t>DGS-CHT-001-Fiche-Projet.docx</t>
        </is>
      </c>
    </row>
    <row r="185" ht="23.85" customHeight="1" s="23">
      <c r="A185" s="28" t="inlineStr">
        <is>
          <t>DGS-CHT-002</t>
        </is>
      </c>
      <c r="B185" s="29" t="inlineStr">
        <is>
          <t>PV d’installation de chantier</t>
        </is>
      </c>
      <c r="C185" s="29" t="inlineStr">
        <is>
          <t>Chantier</t>
        </is>
      </c>
      <c r="D185" s="29" t="inlineStr">
        <is>
          <t>Acter installation, base vie, clôtures et accès</t>
        </is>
      </c>
      <c r="E185" s="29" t="inlineStr">
        <is>
          <t>DGS (+ Client)</t>
        </is>
      </c>
      <c r="F185" s="30" t="inlineStr">
        <is>
          <t>V1.0</t>
        </is>
      </c>
      <c r="G185" s="29" t="inlineStr">
        <is>
          <t>03_CHANTIERS/Lancement</t>
        </is>
      </c>
      <c r="H185" s="30" t="inlineStr">
        <is>
          <t>4</t>
        </is>
      </c>
      <c r="I185" s="30" t="inlineStr">
        <is>
          <t>Créé</t>
        </is>
      </c>
      <c r="J185" s="30" t="inlineStr">
        <is>
          <t>BROUILLON</t>
        </is>
      </c>
      <c r="K185" s="29" t="inlineStr">
        <is>
          <t>DGS-CHT-002-PV-Installation-Chantier.docx</t>
        </is>
      </c>
    </row>
    <row r="186" ht="23.85" customHeight="1" s="23">
      <c r="A186" s="28" t="inlineStr">
        <is>
          <t>DGS-CHT-003</t>
        </is>
      </c>
      <c r="B186" s="29" t="inlineStr">
        <is>
          <t>PV d’implantation</t>
        </is>
      </c>
      <c r="C186" s="29" t="inlineStr">
        <is>
          <t>Chantier</t>
        </is>
      </c>
      <c r="D186" s="29" t="inlineStr">
        <is>
          <t>Acter l’implantation et le traçage des ouvrages</t>
        </is>
      </c>
      <c r="E186" s="29" t="inlineStr">
        <is>
          <t>DGS (+ BET / Architecte)</t>
        </is>
      </c>
      <c r="F186" s="30" t="inlineStr">
        <is>
          <t>V1.0</t>
        </is>
      </c>
      <c r="G186" s="29" t="inlineStr">
        <is>
          <t>03_CHANTIERS/Lancement</t>
        </is>
      </c>
      <c r="H186" s="30" t="inlineStr">
        <is>
          <t>4</t>
        </is>
      </c>
      <c r="I186" s="30" t="inlineStr">
        <is>
          <t>Créé</t>
        </is>
      </c>
      <c r="J186" s="30" t="inlineStr">
        <is>
          <t>BROUILLON</t>
        </is>
      </c>
      <c r="K186" s="29" t="inlineStr">
        <is>
          <t>DGS-CHT-003-PV-Implantation.docx</t>
        </is>
      </c>
    </row>
    <row r="187" ht="23.85" customHeight="1" s="23">
      <c r="A187" s="28" t="inlineStr">
        <is>
          <t>DGS-CHT-004</t>
        </is>
      </c>
      <c r="B187" s="29" t="inlineStr">
        <is>
          <t>PV de contrôle des travaux</t>
        </is>
      </c>
      <c r="C187" s="29" t="inlineStr">
        <is>
          <t>Chantier</t>
        </is>
      </c>
      <c r="D187" s="29" t="inlineStr">
        <is>
          <t>Contrôler l’exécution des travaux</t>
        </is>
      </c>
      <c r="E187" s="29" t="inlineStr">
        <is>
          <t>DGS (+ intervenants)</t>
        </is>
      </c>
      <c r="F187" s="30" t="inlineStr">
        <is>
          <t>V1.0</t>
        </is>
      </c>
      <c r="G187" s="29" t="inlineStr">
        <is>
          <t>03_CHANTIERS/Suivi</t>
        </is>
      </c>
      <c r="H187" s="30" t="inlineStr">
        <is>
          <t>4</t>
        </is>
      </c>
      <c r="I187" s="30" t="inlineStr">
        <is>
          <t>Créé</t>
        </is>
      </c>
      <c r="J187" s="30" t="inlineStr">
        <is>
          <t>BROUILLON</t>
        </is>
      </c>
      <c r="K187" s="29" t="inlineStr">
        <is>
          <t>DGS-CHT-004-PV-Controle-Travaux.docx</t>
        </is>
      </c>
    </row>
    <row r="188" ht="23.85" customHeight="1" s="23">
      <c r="A188" s="28" t="inlineStr">
        <is>
          <t>DGS-QLT-005</t>
        </is>
      </c>
      <c r="B188" s="29" t="inlineStr">
        <is>
          <t>PV de contrôle qualité</t>
        </is>
      </c>
      <c r="C188" s="29" t="inlineStr">
        <is>
          <t>Chantier</t>
        </is>
      </c>
      <c r="D188" s="29" t="inlineStr">
        <is>
          <t>Contrôle qualité d’un ouvrage ou d’un lot</t>
        </is>
      </c>
      <c r="E188" s="29" t="inlineStr">
        <is>
          <t>DGS (+ Client)</t>
        </is>
      </c>
      <c r="F188" s="30" t="inlineStr">
        <is>
          <t>V1.0</t>
        </is>
      </c>
      <c r="G188" s="29" t="inlineStr">
        <is>
          <t>03_CHANTIERS/Qualite</t>
        </is>
      </c>
      <c r="H188" s="30" t="inlineStr">
        <is>
          <t>4</t>
        </is>
      </c>
      <c r="I188" s="30" t="inlineStr">
        <is>
          <t>Créé</t>
        </is>
      </c>
      <c r="J188" s="30" t="inlineStr">
        <is>
          <t>BROUILLON</t>
        </is>
      </c>
      <c r="K188" s="29" t="inlineStr">
        <is>
          <t>DGS-QLT-005-PV-Controle-Qualite.docx</t>
        </is>
      </c>
    </row>
    <row r="189" ht="23.85" customHeight="1" s="23">
      <c r="A189" s="28" t="inlineStr">
        <is>
          <t>DGS-HSE-001</t>
        </is>
      </c>
      <c r="B189" s="29" t="inlineStr">
        <is>
          <t>PV de contrôle sécurité</t>
        </is>
      </c>
      <c r="C189" s="29" t="inlineStr">
        <is>
          <t>Chantier</t>
        </is>
      </c>
      <c r="D189" s="29" t="inlineStr">
        <is>
          <t>Contrôler les mesures de sécurité du chantier</t>
        </is>
      </c>
      <c r="E189" s="29" t="inlineStr">
        <is>
          <t>DGS</t>
        </is>
      </c>
      <c r="F189" s="30" t="inlineStr">
        <is>
          <t>V1.0</t>
        </is>
      </c>
      <c r="G189" s="29" t="inlineStr">
        <is>
          <t>03_CHANTIERS/HSE</t>
        </is>
      </c>
      <c r="H189" s="30" t="inlineStr">
        <is>
          <t>4</t>
        </is>
      </c>
      <c r="I189" s="30" t="inlineStr">
        <is>
          <t>Créé</t>
        </is>
      </c>
      <c r="J189" s="30" t="inlineStr">
        <is>
          <t>BROUILLON</t>
        </is>
      </c>
      <c r="K189" s="29" t="inlineStr">
        <is>
          <t>DGS-HSE-001-PV-Controle-Securite.docx</t>
        </is>
      </c>
    </row>
    <row r="190" ht="23.85" customHeight="1" s="23">
      <c r="A190" s="28" t="inlineStr">
        <is>
          <t>DGS-HSE-002</t>
        </is>
      </c>
      <c r="B190" s="29" t="inlineStr">
        <is>
          <t>PV de contrôle HSE</t>
        </is>
      </c>
      <c r="C190" s="29" t="inlineStr">
        <is>
          <t>Chantier</t>
        </is>
      </c>
      <c r="D190" s="29" t="inlineStr">
        <is>
          <t>Contrôle global hygiène, sécurité et environnement</t>
        </is>
      </c>
      <c r="E190" s="29" t="inlineStr">
        <is>
          <t>DGS</t>
        </is>
      </c>
      <c r="F190" s="30" t="inlineStr">
        <is>
          <t>V1.0</t>
        </is>
      </c>
      <c r="G190" s="29" t="inlineStr">
        <is>
          <t>03_CHANTIERS/HSE</t>
        </is>
      </c>
      <c r="H190" s="30" t="inlineStr">
        <is>
          <t>4</t>
        </is>
      </c>
      <c r="I190" s="30" t="inlineStr">
        <is>
          <t>Créé</t>
        </is>
      </c>
      <c r="J190" s="30" t="inlineStr">
        <is>
          <t>BROUILLON</t>
        </is>
      </c>
      <c r="K190" s="29" t="inlineStr">
        <is>
          <t>DGS-HSE-002-PV-Controle-HSE.docx</t>
        </is>
      </c>
    </row>
    <row r="191" ht="23.85" customHeight="1" s="23">
      <c r="A191" s="28" t="inlineStr">
        <is>
          <t>DGS-QLT-006</t>
        </is>
      </c>
      <c r="B191" s="29" t="inlineStr">
        <is>
          <t>PV de contrôle béton</t>
        </is>
      </c>
      <c r="C191" s="29" t="inlineStr">
        <is>
          <t>Chantier</t>
        </is>
      </c>
      <c r="D191" s="29" t="inlineStr">
        <is>
          <t>Contrôler les opérations et essais de bétonnage</t>
        </is>
      </c>
      <c r="E191" s="29" t="inlineStr">
        <is>
          <t>DGS (+ BC)</t>
        </is>
      </c>
      <c r="F191" s="30" t="inlineStr">
        <is>
          <t>V1.0</t>
        </is>
      </c>
      <c r="G191" s="29" t="inlineStr">
        <is>
          <t>03_CHANTIERS/Qualite</t>
        </is>
      </c>
      <c r="H191" s="30" t="inlineStr">
        <is>
          <t>4</t>
        </is>
      </c>
      <c r="I191" s="30" t="inlineStr">
        <is>
          <t>Créé</t>
        </is>
      </c>
      <c r="J191" s="30" t="inlineStr">
        <is>
          <t>BROUILLON</t>
        </is>
      </c>
      <c r="K191" s="29" t="inlineStr">
        <is>
          <t>DGS-QLT-006-PV-Controle-Beton.docx</t>
        </is>
      </c>
    </row>
    <row r="192" ht="23.85" customHeight="1" s="23">
      <c r="A192" s="28" t="inlineStr">
        <is>
          <t>DGS-CHT-005</t>
        </is>
      </c>
      <c r="B192" s="29" t="inlineStr">
        <is>
          <t>PV de réception ferraillage</t>
        </is>
      </c>
      <c r="C192" s="29" t="inlineStr">
        <is>
          <t>Chantier</t>
        </is>
      </c>
      <c r="D192" s="29" t="inlineStr">
        <is>
          <t>Réceptionner le ferraillage avant coulage</t>
        </is>
      </c>
      <c r="E192" s="29" t="inlineStr">
        <is>
          <t>DGS (+ BC / BET)</t>
        </is>
      </c>
      <c r="F192" s="30" t="inlineStr">
        <is>
          <t>V1.0</t>
        </is>
      </c>
      <c r="G192" s="29" t="inlineStr">
        <is>
          <t>03_CHANTIERS/Reception</t>
        </is>
      </c>
      <c r="H192" s="30" t="inlineStr">
        <is>
          <t>4</t>
        </is>
      </c>
      <c r="I192" s="30" t="inlineStr">
        <is>
          <t>Créé</t>
        </is>
      </c>
      <c r="J192" s="30" t="inlineStr">
        <is>
          <t>BROUILLON</t>
        </is>
      </c>
      <c r="K192" s="29" t="inlineStr">
        <is>
          <t>DGS-CHT-005-PV-Reception-Ferraillage.docx</t>
        </is>
      </c>
    </row>
    <row r="193" ht="23.85" customHeight="1" s="23">
      <c r="A193" s="28" t="inlineStr">
        <is>
          <t>DGS-CHT-006</t>
        </is>
      </c>
      <c r="B193" s="29" t="inlineStr">
        <is>
          <t>PV de réception coffrage</t>
        </is>
      </c>
      <c r="C193" s="29" t="inlineStr">
        <is>
          <t>Chantier</t>
        </is>
      </c>
      <c r="D193" s="29" t="inlineStr">
        <is>
          <t>Réceptionner le coffrage avant coulage</t>
        </is>
      </c>
      <c r="E193" s="29" t="inlineStr">
        <is>
          <t>DGS (+ BC / BET)</t>
        </is>
      </c>
      <c r="F193" s="30" t="inlineStr">
        <is>
          <t>V1.0</t>
        </is>
      </c>
      <c r="G193" s="29" t="inlineStr">
        <is>
          <t>03_CHANTIERS/Reception</t>
        </is>
      </c>
      <c r="H193" s="30" t="inlineStr">
        <is>
          <t>4</t>
        </is>
      </c>
      <c r="I193" s="30" t="inlineStr">
        <is>
          <t>Créé</t>
        </is>
      </c>
      <c r="J193" s="30" t="inlineStr">
        <is>
          <t>BROUILLON</t>
        </is>
      </c>
      <c r="K193" s="29" t="inlineStr">
        <is>
          <t>DGS-CHT-006-PV-Reception-Coffrage.docx</t>
        </is>
      </c>
    </row>
    <row r="194" ht="23.85" customHeight="1" s="23">
      <c r="A194" s="28" t="inlineStr">
        <is>
          <t>DGS-CHT-007</t>
        </is>
      </c>
      <c r="B194" s="29" t="inlineStr">
        <is>
          <t>PV de réception étanchéité</t>
        </is>
      </c>
      <c r="C194" s="29" t="inlineStr">
        <is>
          <t>Chantier</t>
        </is>
      </c>
      <c r="D194" s="29" t="inlineStr">
        <is>
          <t>Réceptionner les ouvrages d’étanchéité</t>
        </is>
      </c>
      <c r="E194" s="29" t="inlineStr">
        <is>
          <t>DGS (+ BC / Client)</t>
        </is>
      </c>
      <c r="F194" s="30" t="inlineStr">
        <is>
          <t>V1.0</t>
        </is>
      </c>
      <c r="G194" s="29" t="inlineStr">
        <is>
          <t>03_CHANTIERS/Reception</t>
        </is>
      </c>
      <c r="H194" s="30" t="inlineStr">
        <is>
          <t>4</t>
        </is>
      </c>
      <c r="I194" s="30" t="inlineStr">
        <is>
          <t>Créé</t>
        </is>
      </c>
      <c r="J194" s="30" t="inlineStr">
        <is>
          <t>BROUILLON</t>
        </is>
      </c>
      <c r="K194" s="29" t="inlineStr">
        <is>
          <t>DGS-CHT-007-PV-Reception-Etancheite.docx</t>
        </is>
      </c>
    </row>
    <row r="195" ht="23.85" customHeight="1" s="23">
      <c r="A195" s="28" t="inlineStr">
        <is>
          <t>DGS-CHT-008</t>
        </is>
      </c>
      <c r="B195" s="29" t="inlineStr">
        <is>
          <t>PV de réception réseaux</t>
        </is>
      </c>
      <c r="C195" s="29" t="inlineStr">
        <is>
          <t>Chantier</t>
        </is>
      </c>
      <c r="D195" s="29" t="inlineStr">
        <is>
          <t>Réceptionner les réseaux (eau, assainissement, électricité…)</t>
        </is>
      </c>
      <c r="E195" s="29" t="inlineStr">
        <is>
          <t>DGS (+ intervenants)</t>
        </is>
      </c>
      <c r="F195" s="30" t="inlineStr">
        <is>
          <t>V1.0</t>
        </is>
      </c>
      <c r="G195" s="29" t="inlineStr">
        <is>
          <t>03_CHANTIERS/Reception</t>
        </is>
      </c>
      <c r="H195" s="30" t="inlineStr">
        <is>
          <t>4</t>
        </is>
      </c>
      <c r="I195" s="30" t="inlineStr">
        <is>
          <t>Créé</t>
        </is>
      </c>
      <c r="J195" s="30" t="inlineStr">
        <is>
          <t>BROUILLON</t>
        </is>
      </c>
      <c r="K195" s="29" t="inlineStr">
        <is>
          <t>DGS-CHT-008-PV-Reception-Reseaux.docx</t>
        </is>
      </c>
    </row>
    <row r="196" ht="23.85" customHeight="1" s="23">
      <c r="A196" s="28" t="inlineStr">
        <is>
          <t>DGS-CHT-009</t>
        </is>
      </c>
      <c r="B196" s="29" t="inlineStr">
        <is>
          <t>PV de réception finition</t>
        </is>
      </c>
      <c r="C196" s="29" t="inlineStr">
        <is>
          <t>Chantier</t>
        </is>
      </c>
      <c r="D196" s="29" t="inlineStr">
        <is>
          <t>Réceptionner les travaux de finition</t>
        </is>
      </c>
      <c r="E196" s="29" t="inlineStr">
        <is>
          <t>DGS + Client</t>
        </is>
      </c>
      <c r="F196" s="30" t="inlineStr">
        <is>
          <t>V1.0</t>
        </is>
      </c>
      <c r="G196" s="29" t="inlineStr">
        <is>
          <t>03_CHANTIERS/Reception</t>
        </is>
      </c>
      <c r="H196" s="30" t="inlineStr">
        <is>
          <t>4</t>
        </is>
      </c>
      <c r="I196" s="30" t="inlineStr">
        <is>
          <t>Créé</t>
        </is>
      </c>
      <c r="J196" s="30" t="inlineStr">
        <is>
          <t>BROUILLON</t>
        </is>
      </c>
      <c r="K196" s="29" t="inlineStr">
        <is>
          <t>DGS-CHT-009-PV-Reception-Finition.docx</t>
        </is>
      </c>
    </row>
    <row r="197" ht="23.85" customHeight="1" s="23">
      <c r="A197" s="28" t="inlineStr">
        <is>
          <t>DGS-HSE-003</t>
        </is>
      </c>
      <c r="B197" s="29" t="inlineStr">
        <is>
          <t>PV d’incident chantier</t>
        </is>
      </c>
      <c r="C197" s="29" t="inlineStr">
        <is>
          <t>Chantier</t>
        </is>
      </c>
      <c r="D197" s="29" t="inlineStr">
        <is>
          <t>Consigner un incident sans blessure grave et les mesures prises</t>
        </is>
      </c>
      <c r="E197" s="29" t="inlineStr">
        <is>
          <t>DGS (+ témoins)</t>
        </is>
      </c>
      <c r="F197" s="30" t="inlineStr">
        <is>
          <t>V1.0</t>
        </is>
      </c>
      <c r="G197" s="29" t="inlineStr">
        <is>
          <t>03_CHANTIERS/HSE</t>
        </is>
      </c>
      <c r="H197" s="30" t="inlineStr">
        <is>
          <t>4</t>
        </is>
      </c>
      <c r="I197" s="30" t="inlineStr">
        <is>
          <t>Créé</t>
        </is>
      </c>
      <c r="J197" s="30" t="inlineStr">
        <is>
          <t>BROUILLON</t>
        </is>
      </c>
      <c r="K197" s="29" t="inlineStr">
        <is>
          <t>DGS-HSE-003-PV-Incident-Chantier.docx</t>
        </is>
      </c>
    </row>
    <row r="198" ht="23.85" customHeight="1" s="23">
      <c r="A198" s="28" t="inlineStr">
        <is>
          <t>DGS-HSE-004</t>
        </is>
      </c>
      <c r="B198" s="29" t="inlineStr">
        <is>
          <t>PV d’accident chantier</t>
        </is>
      </c>
      <c r="C198" s="29" t="inlineStr">
        <is>
          <t>Chantier</t>
        </is>
      </c>
      <c r="D198" s="29" t="inlineStr">
        <is>
          <t>Consigner un accident, les circonstances et les suites</t>
        </is>
      </c>
      <c r="E198" s="29" t="inlineStr">
        <is>
          <t>DGS (+ victime / témoins)</t>
        </is>
      </c>
      <c r="F198" s="30" t="inlineStr">
        <is>
          <t>V1.0</t>
        </is>
      </c>
      <c r="G198" s="29" t="inlineStr">
        <is>
          <t>03_CHANTIERS/HSE</t>
        </is>
      </c>
      <c r="H198" s="30" t="inlineStr">
        <is>
          <t>4</t>
        </is>
      </c>
      <c r="I198" s="30" t="inlineStr">
        <is>
          <t>Créé</t>
        </is>
      </c>
      <c r="J198" s="30" t="inlineStr">
        <is>
          <t>BROUILLON</t>
        </is>
      </c>
      <c r="K198" s="29" t="inlineStr">
        <is>
          <t>DGS-HSE-004-PV-Accident-Chantier.docx</t>
        </is>
      </c>
    </row>
    <row r="199" ht="23.85" customHeight="1" s="23">
      <c r="A199" s="28" t="inlineStr">
        <is>
          <t>DGS-CHT-010</t>
        </is>
      </c>
      <c r="B199" s="29" t="inlineStr">
        <is>
          <t>PV de constat de dégradation</t>
        </is>
      </c>
      <c r="C199" s="29" t="inlineStr">
        <is>
          <t>Chantier</t>
        </is>
      </c>
      <c r="D199" s="29" t="inlineStr">
        <is>
          <t>Constater une dégradation d’ouvrage ou de bien</t>
        </is>
      </c>
      <c r="E199" s="29" t="inlineStr">
        <is>
          <t>DGS (+ Client / tiers)</t>
        </is>
      </c>
      <c r="F199" s="30" t="inlineStr">
        <is>
          <t>V1.0</t>
        </is>
      </c>
      <c r="G199" s="29" t="inlineStr">
        <is>
          <t>03_CHANTIERS/Suivi</t>
        </is>
      </c>
      <c r="H199" s="30" t="inlineStr">
        <is>
          <t>4</t>
        </is>
      </c>
      <c r="I199" s="30" t="inlineStr">
        <is>
          <t>Créé</t>
        </is>
      </c>
      <c r="J199" s="30" t="inlineStr">
        <is>
          <t>BROUILLON</t>
        </is>
      </c>
      <c r="K199" s="29" t="inlineStr">
        <is>
          <t>DGS-CHT-010-PV-Constat-Degradation.docx</t>
        </is>
      </c>
    </row>
    <row r="200" ht="23.85" customHeight="1" s="23">
      <c r="A200" s="28" t="inlineStr">
        <is>
          <t>DGS-CHT-011</t>
        </is>
      </c>
      <c r="B200" s="29" t="inlineStr">
        <is>
          <t>Journal de chantier</t>
        </is>
      </c>
      <c r="C200" s="29" t="inlineStr">
        <is>
          <t>Chantier</t>
        </is>
      </c>
      <c r="D200" s="29" t="inlineStr">
        <is>
          <t>Tenir chaque jour la trace des effectifs, travaux, livraisons et événements du chantier</t>
        </is>
      </c>
      <c r="E200" s="29" t="inlineStr">
        <is>
          <t>Responsable chantier</t>
        </is>
      </c>
      <c r="F200" s="30" t="inlineStr">
        <is>
          <t>V1.0</t>
        </is>
      </c>
      <c r="G200" s="29" t="inlineStr">
        <is>
          <t>03_CHANTIERS/Suivi</t>
        </is>
      </c>
      <c r="H200" s="30" t="inlineStr">
        <is>
          <t>11</t>
        </is>
      </c>
      <c r="I200" s="30" t="inlineStr">
        <is>
          <t>Créé</t>
        </is>
      </c>
      <c r="J200" s="30" t="inlineStr">
        <is>
          <t>BROUILLON</t>
        </is>
      </c>
      <c r="K200" s="29" t="inlineStr">
        <is>
          <t>DGS-CHT-011-Journal-Chantier.docx</t>
        </is>
      </c>
    </row>
    <row r="201" ht="23.85" customHeight="1" s="23">
      <c r="A201" s="28" t="inlineStr">
        <is>
          <t>DGS-CHT-012</t>
        </is>
      </c>
      <c r="B201" s="29" t="inlineStr">
        <is>
          <t>Rapport hebdomadaire d’avancement</t>
        </is>
      </c>
      <c r="C201" s="29" t="inlineStr">
        <is>
          <t>Chantier</t>
        </is>
      </c>
      <c r="D201" s="29" t="inlineStr">
        <is>
          <t>Rendre compte chaque semaine de l’avancement, des problèmes et des prévisions</t>
        </is>
      </c>
      <c r="E201" s="29" t="inlineStr">
        <is>
          <t>Responsable chantier + Chef de projet</t>
        </is>
      </c>
      <c r="F201" s="30" t="inlineStr">
        <is>
          <t>V1.0</t>
        </is>
      </c>
      <c r="G201" s="29" t="inlineStr">
        <is>
          <t>03_CHANTIERS/Suivi</t>
        </is>
      </c>
      <c r="H201" s="30" t="inlineStr">
        <is>
          <t>11</t>
        </is>
      </c>
      <c r="I201" s="30" t="inlineStr">
        <is>
          <t>Créé</t>
        </is>
      </c>
      <c r="J201" s="30" t="inlineStr">
        <is>
          <t>BROUILLON</t>
        </is>
      </c>
      <c r="K201" s="29" t="inlineStr">
        <is>
          <t>DGS-CHT-012-Rapport-Hebdomadaire-Avancement.docx</t>
        </is>
      </c>
    </row>
    <row r="202" ht="23.85" customHeight="1" s="23">
      <c r="A202" s="28" t="inlineStr">
        <is>
          <t>DGS-CHT-013</t>
        </is>
      </c>
      <c r="B202" s="29" t="inlineStr">
        <is>
          <t>Rapport mensuel d’avancement</t>
        </is>
      </c>
      <c r="C202" s="29" t="inlineStr">
        <is>
          <t>Chantier</t>
        </is>
      </c>
      <c r="D202" s="29" t="inlineStr">
        <is>
          <t>Rendre compte chaque mois de l’avancement physique, financier, qualité et sécurité du projet</t>
        </is>
      </c>
      <c r="E202" s="29" t="inlineStr">
        <is>
          <t>Chef de projet + Gérant</t>
        </is>
      </c>
      <c r="F202" s="30" t="inlineStr">
        <is>
          <t>V1.0</t>
        </is>
      </c>
      <c r="G202" s="29" t="inlineStr">
        <is>
          <t>03_CHANTIERS/Suivi</t>
        </is>
      </c>
      <c r="H202" s="30" t="inlineStr">
        <is>
          <t>11</t>
        </is>
      </c>
      <c r="I202" s="30" t="inlineStr">
        <is>
          <t>Créé</t>
        </is>
      </c>
      <c r="J202" s="30" t="inlineStr">
        <is>
          <t>BROUILLON</t>
        </is>
      </c>
      <c r="K202" s="29" t="inlineStr">
        <is>
          <t>DGS-CHT-013-Rapport-Mensuel-Avancement.docx</t>
        </is>
      </c>
    </row>
    <row r="203" ht="23.85" customHeight="1" s="23">
      <c r="A203" s="28" t="inlineStr">
        <is>
          <t>DGS-CHT-014</t>
        </is>
      </c>
      <c r="B203" s="29" t="inlineStr">
        <is>
          <t>Fiche de pointage du personnel de chantier</t>
        </is>
      </c>
      <c r="C203" s="29" t="inlineStr">
        <is>
          <t>Chantier</t>
        </is>
      </c>
      <c r="D203" s="29" t="inlineStr">
        <is>
          <t>Relever les présences et les heures du personnel de chantier</t>
        </is>
      </c>
      <c r="E203" s="29" t="inlineStr">
        <is>
          <t>Responsable chantier + Chef de projet</t>
        </is>
      </c>
      <c r="F203" s="30" t="inlineStr">
        <is>
          <t>V1.0</t>
        </is>
      </c>
      <c r="G203" s="29" t="inlineStr">
        <is>
          <t>03_CHANTIERS/Suivi</t>
        </is>
      </c>
      <c r="H203" s="30" t="inlineStr">
        <is>
          <t>11</t>
        </is>
      </c>
      <c r="I203" s="30" t="inlineStr">
        <is>
          <t>Créé</t>
        </is>
      </c>
      <c r="J203" s="30" t="inlineStr">
        <is>
          <t>BROUILLON</t>
        </is>
      </c>
      <c r="K203" s="29" t="inlineStr">
        <is>
          <t>DGS-CHT-014-Fiche-Pointage-Personnel-Chantier.docx</t>
        </is>
      </c>
    </row>
    <row r="204" ht="23.85" customHeight="1" s="23">
      <c r="A204" s="28" t="inlineStr">
        <is>
          <t>DGS-CHT-015</t>
        </is>
      </c>
      <c r="B204" s="29" t="inlineStr">
        <is>
          <t>Bon de sortie de matériaux</t>
        </is>
      </c>
      <c r="C204" s="29" t="inlineStr">
        <is>
          <t>Chantier</t>
        </is>
      </c>
      <c r="D204" s="29" t="inlineStr">
        <is>
          <t>Tracer la sortie de matériaux du stock vers un chantier</t>
        </is>
      </c>
      <c r="E204" s="29" t="inlineStr">
        <is>
          <t>Magasinier + Réceptionnaire</t>
        </is>
      </c>
      <c r="F204" s="30" t="inlineStr">
        <is>
          <t>V1.0</t>
        </is>
      </c>
      <c r="G204" s="29" t="inlineStr">
        <is>
          <t>03_CHANTIERS/Materiaux</t>
        </is>
      </c>
      <c r="H204" s="30" t="inlineStr">
        <is>
          <t>11</t>
        </is>
      </c>
      <c r="I204" s="30" t="inlineStr">
        <is>
          <t>Créé</t>
        </is>
      </c>
      <c r="J204" s="30" t="inlineStr">
        <is>
          <t>BROUILLON</t>
        </is>
      </c>
      <c r="K204" s="29" t="inlineStr">
        <is>
          <t>DGS-CHT-015-Bon-Sortie-Materiaux.docx</t>
        </is>
      </c>
    </row>
    <row r="205" ht="23.85" customHeight="1" s="23">
      <c r="A205" s="28" t="inlineStr">
        <is>
          <t>DGS-CHT-016</t>
        </is>
      </c>
      <c r="B205" s="29" t="inlineStr">
        <is>
          <t>Demande d’approvisionnement</t>
        </is>
      </c>
      <c r="C205" s="29" t="inlineStr">
        <is>
          <t>Chantier</t>
        </is>
      </c>
      <c r="D205" s="29" t="inlineStr">
        <is>
          <t>Formaliser un besoin en matériaux ou fournitures et son approbation</t>
        </is>
      </c>
      <c r="E205" s="29" t="inlineStr">
        <is>
          <t>Demandeur + Chef de projet + Gérant</t>
        </is>
      </c>
      <c r="F205" s="30" t="inlineStr">
        <is>
          <t>V1.0</t>
        </is>
      </c>
      <c r="G205" s="29" t="inlineStr">
        <is>
          <t>03_CHANTIERS/Materiaux</t>
        </is>
      </c>
      <c r="H205" s="30" t="inlineStr">
        <is>
          <t>11</t>
        </is>
      </c>
      <c r="I205" s="30" t="inlineStr">
        <is>
          <t>Créé</t>
        </is>
      </c>
      <c r="J205" s="30" t="inlineStr">
        <is>
          <t>BROUILLON</t>
        </is>
      </c>
      <c r="K205" s="29" t="inlineStr">
        <is>
          <t>DGS-CHT-016-Demande-Approvisionnement.docx</t>
        </is>
      </c>
    </row>
    <row r="206" ht="23.85" customHeight="1" s="23">
      <c r="A206" s="28" t="inlineStr">
        <is>
          <t>DGS-CHT-017</t>
        </is>
      </c>
      <c r="B206" s="29" t="inlineStr">
        <is>
          <t>Registre des non-conformités</t>
        </is>
      </c>
      <c r="C206" s="29" t="inlineStr">
        <is>
          <t>Chantier</t>
        </is>
      </c>
      <c r="D206" s="29" t="inlineStr">
        <is>
          <t>Suivre l’ensemble des non-conformités d’un chantier jusqu’à leur clôture</t>
        </is>
      </c>
      <c r="E206" s="29" t="inlineStr">
        <is>
          <t>Responsable chantier + Chef de projet</t>
        </is>
      </c>
      <c r="F206" s="30" t="inlineStr">
        <is>
          <t>V1.0</t>
        </is>
      </c>
      <c r="G206" s="29" t="inlineStr">
        <is>
          <t>03_CHANTIERS/Non_Conformites</t>
        </is>
      </c>
      <c r="H206" s="30" t="inlineStr">
        <is>
          <t>11</t>
        </is>
      </c>
      <c r="I206" s="30" t="inlineStr">
        <is>
          <t>Créé</t>
        </is>
      </c>
      <c r="J206" s="30" t="inlineStr">
        <is>
          <t>BROUILLON</t>
        </is>
      </c>
      <c r="K206" s="29" t="inlineStr">
        <is>
          <t>DGS-CHT-017-Registre-Non-Conformites.docx</t>
        </is>
      </c>
    </row>
    <row r="207" ht="23.85" customHeight="1" s="23">
      <c r="A207" s="28" t="inlineStr">
        <is>
          <t>DGS-CHT-018</t>
        </is>
      </c>
      <c r="B207" s="29" t="inlineStr">
        <is>
          <t>Attachement de travaux</t>
        </is>
      </c>
      <c r="C207" s="29" t="inlineStr">
        <is>
          <t>Chantier</t>
        </is>
      </c>
      <c r="D207" s="29" t="inlineStr">
        <is>
          <t>Constater contradictoirement les quantités réellement exécutées</t>
        </is>
      </c>
      <c r="E207" s="29" t="inlineStr">
        <is>
          <t>DGS + Client (+ Sous-traitant)</t>
        </is>
      </c>
      <c r="F207" s="30" t="inlineStr">
        <is>
          <t>V1.0</t>
        </is>
      </c>
      <c r="G207" s="29" t="inlineStr">
        <is>
          <t>03_CHANTIERS/Suivi</t>
        </is>
      </c>
      <c r="H207" s="30" t="inlineStr">
        <is>
          <t>11</t>
        </is>
      </c>
      <c r="I207" s="30" t="inlineStr">
        <is>
          <t>Créé</t>
        </is>
      </c>
      <c r="J207" s="30" t="inlineStr">
        <is>
          <t>BROUILLON</t>
        </is>
      </c>
      <c r="K207" s="29" t="inlineStr">
        <is>
          <t>DGS-CHT-018-Attachement-Travaux.docx</t>
        </is>
      </c>
    </row>
    <row r="208" ht="23.85" customHeight="1" s="23">
      <c r="A208" s="28" t="inlineStr">
        <is>
          <t>DGS-CHT-019</t>
        </is>
      </c>
      <c r="B208" s="29" t="inlineStr">
        <is>
          <t>Ordre de service</t>
        </is>
      </c>
      <c r="C208" s="29" t="inlineStr">
        <is>
          <t>Chantier</t>
        </is>
      </c>
      <c r="D208" s="29" t="inlineStr">
        <is>
          <t>Donner une instruction écrite à une équipe, à un sous-traitant ou à un intervenant</t>
        </is>
      </c>
      <c r="E208" s="29" t="inlineStr">
        <is>
          <t>DGS + Destinataire</t>
        </is>
      </c>
      <c r="F208" s="30" t="inlineStr">
        <is>
          <t>V1.0</t>
        </is>
      </c>
      <c r="G208" s="29" t="inlineStr">
        <is>
          <t>03_CHANTIERS/Suivi</t>
        </is>
      </c>
      <c r="H208" s="30" t="inlineStr">
        <is>
          <t>11</t>
        </is>
      </c>
      <c r="I208" s="30" t="inlineStr">
        <is>
          <t>Créé</t>
        </is>
      </c>
      <c r="J208" s="30" t="inlineStr">
        <is>
          <t>BROUILLON</t>
        </is>
      </c>
      <c r="K208" s="29" t="inlineStr">
        <is>
          <t>DGS-CHT-019-Ordre-Service.docx</t>
        </is>
      </c>
    </row>
    <row r="209" ht="23.85" customHeight="1" s="23">
      <c r="A209" s="28" t="inlineStr">
        <is>
          <t>DGS-CHT-020</t>
        </is>
      </c>
      <c r="B209" s="29" t="inlineStr">
        <is>
          <t>Planning hebdomadaire de chantier</t>
        </is>
      </c>
      <c r="C209" s="29" t="inlineStr">
        <is>
          <t>Chantier</t>
        </is>
      </c>
      <c r="D209" s="29" t="inlineStr">
        <is>
          <t>Planifier chaque semaine les tâches, équipes et moyens du chantier</t>
        </is>
      </c>
      <c r="E209" s="29" t="inlineStr">
        <is>
          <t>Responsable chantier + Chef de projet</t>
        </is>
      </c>
      <c r="F209" s="30" t="inlineStr">
        <is>
          <t>V1.0</t>
        </is>
      </c>
      <c r="G209" s="29" t="inlineStr">
        <is>
          <t>03_CHANTIERS/Suivi</t>
        </is>
      </c>
      <c r="H209" s="30" t="inlineStr">
        <is>
          <t>11</t>
        </is>
      </c>
      <c r="I209" s="30" t="inlineStr">
        <is>
          <t>Créé</t>
        </is>
      </c>
      <c r="J209" s="30" t="inlineStr">
        <is>
          <t>BROUILLON</t>
        </is>
      </c>
      <c r="K209" s="29" t="inlineStr">
        <is>
          <t>DGS-CHT-020-Planning-Hebdomadaire-Chantier.docx</t>
        </is>
      </c>
    </row>
    <row r="210" ht="23.85" customHeight="1" s="23">
      <c r="A210" s="28" t="inlineStr">
        <is>
          <t>DGS-HSE-005</t>
        </is>
      </c>
      <c r="B210" s="29" t="inlineStr">
        <is>
          <t>Fiche de vérification quotidienne de sécurité</t>
        </is>
      </c>
      <c r="C210" s="29" t="inlineStr">
        <is>
          <t>Chantier</t>
        </is>
      </c>
      <c r="D210" s="29" t="inlineStr">
        <is>
          <t>Vérifier chaque jour les conditions de sécurité avant le démarrage du travail</t>
        </is>
      </c>
      <c r="E210" s="29" t="inlineStr">
        <is>
          <t>Vérificateur + Responsable chantier</t>
        </is>
      </c>
      <c r="F210" s="30" t="inlineStr">
        <is>
          <t>V1.0</t>
        </is>
      </c>
      <c r="G210" s="29" t="inlineStr">
        <is>
          <t>03_CHANTIERS/HSE</t>
        </is>
      </c>
      <c r="H210" s="30" t="inlineStr">
        <is>
          <t>11</t>
        </is>
      </c>
      <c r="I210" s="30" t="inlineStr">
        <is>
          <t>Créé</t>
        </is>
      </c>
      <c r="J210" s="30" t="inlineStr">
        <is>
          <t>BROUILLON</t>
        </is>
      </c>
      <c r="K210" s="29" t="inlineStr">
        <is>
          <t>DGS-HSE-005-Fiche-Verification-Quotidienne-Securite.docx</t>
        </is>
      </c>
    </row>
    <row r="211" ht="23.85" customHeight="1" s="23">
      <c r="A211" s="28" t="inlineStr">
        <is>
          <t>DGS-HSE-006</t>
        </is>
      </c>
      <c r="B211" s="29" t="inlineStr">
        <is>
          <t>Fiche d’accueil sécurité</t>
        </is>
      </c>
      <c r="C211" s="29" t="inlineStr">
        <is>
          <t>Chantier</t>
        </is>
      </c>
      <c r="D211" s="29" t="inlineStr">
        <is>
          <t>Tracer l’accueil sécurité de toute personne qui intervient sur le chantier</t>
        </is>
      </c>
      <c r="E211" s="29" t="inlineStr">
        <is>
          <t>Accueillant + Personne accueillie</t>
        </is>
      </c>
      <c r="F211" s="30" t="inlineStr">
        <is>
          <t>V1.0</t>
        </is>
      </c>
      <c r="G211" s="29" t="inlineStr">
        <is>
          <t>03_CHANTIERS/HSE</t>
        </is>
      </c>
      <c r="H211" s="30" t="inlineStr">
        <is>
          <t>11</t>
        </is>
      </c>
      <c r="I211" s="30" t="inlineStr">
        <is>
          <t>Créé</t>
        </is>
      </c>
      <c r="J211" s="30" t="inlineStr">
        <is>
          <t>BROUILLON</t>
        </is>
      </c>
      <c r="K211" s="29" t="inlineStr">
        <is>
          <t>DGS-HSE-006-Fiche-Accueil-Securite.docx</t>
        </is>
      </c>
    </row>
    <row r="212" ht="23.85" customHeight="1" s="23">
      <c r="A212" s="28" t="inlineStr">
        <is>
          <t>DGS-FOU-001</t>
        </is>
      </c>
      <c r="B212" s="29" t="inlineStr">
        <is>
          <t>Fiche fournisseur</t>
        </is>
      </c>
      <c r="C212" s="29" t="inlineStr">
        <is>
          <t>Fournisseurs</t>
        </is>
      </c>
      <c r="D212" s="29" t="inlineStr">
        <is>
          <t>Identifier le fournisseur et centraliser ses données</t>
        </is>
      </c>
      <c r="E212" s="29" t="inlineStr">
        <is>
          <t>DGS</t>
        </is>
      </c>
      <c r="F212" s="30" t="inlineStr">
        <is>
          <t>V1.0</t>
        </is>
      </c>
      <c r="G212" s="29" t="inlineStr">
        <is>
          <t>04_FOURNISSEURS/01_Selection_Et_Referencement</t>
        </is>
      </c>
      <c r="H212" s="30" t="inlineStr">
        <is>
          <t>5</t>
        </is>
      </c>
      <c r="I212" s="30" t="inlineStr">
        <is>
          <t>Créé</t>
        </is>
      </c>
      <c r="J212" s="30" t="inlineStr">
        <is>
          <t>BROUILLON</t>
        </is>
      </c>
      <c r="K212" s="29" t="inlineStr">
        <is>
          <t>DGS-FOU-001-Fiche-Fournisseur.docx</t>
        </is>
      </c>
    </row>
    <row r="213" ht="23.85" customHeight="1" s="23">
      <c r="A213" s="28" t="inlineStr">
        <is>
          <t>DGS-FOU-002</t>
        </is>
      </c>
      <c r="B213" s="29" t="inlineStr">
        <is>
          <t>Fiche référencement fournisseur</t>
        </is>
      </c>
      <c r="C213" s="29" t="inlineStr">
        <is>
          <t>Fournisseurs</t>
        </is>
      </c>
      <c r="D213" s="29" t="inlineStr">
        <is>
          <t>Référencer un fournisseur (critères, pièces, conditions)</t>
        </is>
      </c>
      <c r="E213" s="29" t="inlineStr">
        <is>
          <t>DGS</t>
        </is>
      </c>
      <c r="F213" s="30" t="inlineStr">
        <is>
          <t>V1.0</t>
        </is>
      </c>
      <c r="G213" s="29" t="inlineStr">
        <is>
          <t>04_FOURNISSEURS/01_Selection_Et_Referencement</t>
        </is>
      </c>
      <c r="H213" s="30" t="inlineStr">
        <is>
          <t>5</t>
        </is>
      </c>
      <c r="I213" s="30" t="inlineStr">
        <is>
          <t>Créé</t>
        </is>
      </c>
      <c r="J213" s="30" t="inlineStr">
        <is>
          <t>BROUILLON</t>
        </is>
      </c>
      <c r="K213" s="29" t="inlineStr">
        <is>
          <t>DGS-FOU-002-Fiche-Referencement-Fournisseur.docx</t>
        </is>
      </c>
    </row>
    <row r="214" ht="23.85" customHeight="1" s="23">
      <c r="A214" s="28" t="inlineStr">
        <is>
          <t>DGS-FOU-003</t>
        </is>
      </c>
      <c r="B214" s="29" t="inlineStr">
        <is>
          <t>Fiche évaluation fournisseur</t>
        </is>
      </c>
      <c r="C214" s="29" t="inlineStr">
        <is>
          <t>Fournisseurs</t>
        </is>
      </c>
      <c r="D214" s="29" t="inlineStr">
        <is>
          <t>Évaluer périodiquement qualité, délais et prix</t>
        </is>
      </c>
      <c r="E214" s="29" t="inlineStr">
        <is>
          <t>DGS</t>
        </is>
      </c>
      <c r="F214" s="30" t="inlineStr">
        <is>
          <t>V1.0</t>
        </is>
      </c>
      <c r="G214" s="29" t="inlineStr">
        <is>
          <t>04_FOURNISSEURS/01_Selection_Et_Referencement</t>
        </is>
      </c>
      <c r="H214" s="30" t="inlineStr">
        <is>
          <t>5</t>
        </is>
      </c>
      <c r="I214" s="30" t="inlineStr">
        <is>
          <t>Créé</t>
        </is>
      </c>
      <c r="J214" s="30" t="inlineStr">
        <is>
          <t>BROUILLON</t>
        </is>
      </c>
      <c r="K214" s="29" t="inlineStr">
        <is>
          <t>DGS-FOU-003-Fiche-Evaluation-Fournisseur.docx</t>
        </is>
      </c>
    </row>
    <row r="215" ht="23.85" customHeight="1" s="23">
      <c r="A215" s="28" t="inlineStr">
        <is>
          <t>DGS-FOU-004</t>
        </is>
      </c>
      <c r="B215" s="29" t="inlineStr">
        <is>
          <t>PV sélection fournisseur</t>
        </is>
      </c>
      <c r="C215" s="29" t="inlineStr">
        <is>
          <t>Fournisseurs</t>
        </is>
      </c>
      <c r="D215" s="29" t="inlineStr">
        <is>
          <t>Tracer la comparaison des offres et la sélection</t>
        </is>
      </c>
      <c r="E215" s="29" t="inlineStr">
        <is>
          <t>DGS</t>
        </is>
      </c>
      <c r="F215" s="30" t="inlineStr">
        <is>
          <t>V1.0</t>
        </is>
      </c>
      <c r="G215" s="29" t="inlineStr">
        <is>
          <t>04_FOURNISSEURS/01_Selection_Et_Referencement</t>
        </is>
      </c>
      <c r="H215" s="30" t="inlineStr">
        <is>
          <t>5</t>
        </is>
      </c>
      <c r="I215" s="30" t="inlineStr">
        <is>
          <t>Créé</t>
        </is>
      </c>
      <c r="J215" s="30" t="inlineStr">
        <is>
          <t>BROUILLON</t>
        </is>
      </c>
      <c r="K215" s="29" t="inlineStr">
        <is>
          <t>DGS-FOU-004-PV-Selection-Fournisseur.docx</t>
        </is>
      </c>
    </row>
    <row r="216" ht="23.85" customHeight="1" s="23">
      <c r="A216" s="28" t="inlineStr">
        <is>
          <t>DGS-FOU-005</t>
        </is>
      </c>
      <c r="B216" s="29" t="inlineStr">
        <is>
          <t>PV réception commande</t>
        </is>
      </c>
      <c r="C216" s="29" t="inlineStr">
        <is>
          <t>Fournisseurs</t>
        </is>
      </c>
      <c r="D216" s="29" t="inlineStr">
        <is>
          <t>Réceptionner une commande livrée</t>
        </is>
      </c>
      <c r="E216" s="29" t="inlineStr">
        <is>
          <t>DGS + Fournisseur</t>
        </is>
      </c>
      <c r="F216" s="30" t="inlineStr">
        <is>
          <t>V1.0</t>
        </is>
      </c>
      <c r="G216" s="29" t="inlineStr">
        <is>
          <t>04_FOURNISSEURS/02_Commandes_Et_Livraisons</t>
        </is>
      </c>
      <c r="H216" s="30" t="inlineStr">
        <is>
          <t>5</t>
        </is>
      </c>
      <c r="I216" s="30" t="inlineStr">
        <is>
          <t>Créé</t>
        </is>
      </c>
      <c r="J216" s="30" t="inlineStr">
        <is>
          <t>BROUILLON</t>
        </is>
      </c>
      <c r="K216" s="29" t="inlineStr">
        <is>
          <t>DGS-FOU-005-PV-Reception-Commande.docx</t>
        </is>
      </c>
    </row>
    <row r="217" ht="23.85" customHeight="1" s="23">
      <c r="A217" s="28" t="inlineStr">
        <is>
          <t>DGS-FOU-006</t>
        </is>
      </c>
      <c r="B217" s="29" t="inlineStr">
        <is>
          <t>PV contrôle livraison</t>
        </is>
      </c>
      <c r="C217" s="29" t="inlineStr">
        <is>
          <t>Fournisseurs</t>
        </is>
      </c>
      <c r="D217" s="29" t="inlineStr">
        <is>
          <t>Contrôler quantité, état et conformité à la livraison</t>
        </is>
      </c>
      <c r="E217" s="29" t="inlineStr">
        <is>
          <t>DGS (+ Fournisseur)</t>
        </is>
      </c>
      <c r="F217" s="30" t="inlineStr">
        <is>
          <t>V1.0</t>
        </is>
      </c>
      <c r="G217" s="29" t="inlineStr">
        <is>
          <t>04_FOURNISSEURS/02_Commandes_Et_Livraisons</t>
        </is>
      </c>
      <c r="H217" s="30" t="inlineStr">
        <is>
          <t>5</t>
        </is>
      </c>
      <c r="I217" s="30" t="inlineStr">
        <is>
          <t>Créé</t>
        </is>
      </c>
      <c r="J217" s="30" t="inlineStr">
        <is>
          <t>BROUILLON</t>
        </is>
      </c>
      <c r="K217" s="29" t="inlineStr">
        <is>
          <t>DGS-FOU-006-PV-Controle-Livraison.docx</t>
        </is>
      </c>
    </row>
    <row r="218" ht="23.85" customHeight="1" s="23">
      <c r="A218" s="28" t="inlineStr">
        <is>
          <t>DGS-FOU-007</t>
        </is>
      </c>
      <c r="B218" s="29" t="inlineStr">
        <is>
          <t>PV non-conformité fournisseur</t>
        </is>
      </c>
      <c r="C218" s="29" t="inlineStr">
        <is>
          <t>Fournisseurs</t>
        </is>
      </c>
      <c r="D218" s="29" t="inlineStr">
        <is>
          <t>Constater une non-conformité de livraison ou de produit</t>
        </is>
      </c>
      <c r="E218" s="29" t="inlineStr">
        <is>
          <t>DGS + Fournisseur</t>
        </is>
      </c>
      <c r="F218" s="30" t="inlineStr">
        <is>
          <t>V1.0</t>
        </is>
      </c>
      <c r="G218" s="29" t="inlineStr">
        <is>
          <t>04_FOURNISSEURS/03_Litiges_Retours_Resiliation</t>
        </is>
      </c>
      <c r="H218" s="30" t="inlineStr">
        <is>
          <t>5</t>
        </is>
      </c>
      <c r="I218" s="30" t="inlineStr">
        <is>
          <t>Créé</t>
        </is>
      </c>
      <c r="J218" s="30" t="inlineStr">
        <is>
          <t>BROUILLON</t>
        </is>
      </c>
      <c r="K218" s="29" t="inlineStr">
        <is>
          <t>DGS-FOU-007-PV-Non-Conformite-Fournisseur.docx</t>
        </is>
      </c>
    </row>
    <row r="219" ht="23.85" customHeight="1" s="23">
      <c r="A219" s="28" t="inlineStr">
        <is>
          <t>DGS-FOU-008</t>
        </is>
      </c>
      <c r="B219" s="29" t="inlineStr">
        <is>
          <t>PV retour fournisseur</t>
        </is>
      </c>
      <c r="C219" s="29" t="inlineStr">
        <is>
          <t>Fournisseurs</t>
        </is>
      </c>
      <c r="D219" s="29" t="inlineStr">
        <is>
          <t>Acter le retour de marchandises au fournisseur</t>
        </is>
      </c>
      <c r="E219" s="29" t="inlineStr">
        <is>
          <t>DGS + Fournisseur</t>
        </is>
      </c>
      <c r="F219" s="30" t="inlineStr">
        <is>
          <t>V1.0</t>
        </is>
      </c>
      <c r="G219" s="29" t="inlineStr">
        <is>
          <t>04_FOURNISSEURS/03_Litiges_Retours_Resiliation</t>
        </is>
      </c>
      <c r="H219" s="30" t="inlineStr">
        <is>
          <t>5</t>
        </is>
      </c>
      <c r="I219" s="30" t="inlineStr">
        <is>
          <t>Créé</t>
        </is>
      </c>
      <c r="J219" s="30" t="inlineStr">
        <is>
          <t>BROUILLON</t>
        </is>
      </c>
      <c r="K219" s="29" t="inlineStr">
        <is>
          <t>DGS-FOU-008-PV-Retour-Fournisseur.docx</t>
        </is>
      </c>
    </row>
    <row r="220" ht="23.85" customHeight="1" s="23">
      <c r="A220" s="28" t="inlineStr">
        <is>
          <t>DGS-FOU-009</t>
        </is>
      </c>
      <c r="B220" s="29" t="inlineStr">
        <is>
          <t>PV résiliation fournisseur</t>
        </is>
      </c>
      <c r="C220" s="29" t="inlineStr">
        <is>
          <t>Fournisseurs</t>
        </is>
      </c>
      <c r="D220" s="29" t="inlineStr">
        <is>
          <t>Acter la fin de la relation avec un fournisseur</t>
        </is>
      </c>
      <c r="E220" s="29" t="inlineStr">
        <is>
          <t>DGS + Fournisseur</t>
        </is>
      </c>
      <c r="F220" s="30" t="inlineStr">
        <is>
          <t>V1.0</t>
        </is>
      </c>
      <c r="G220" s="29" t="inlineStr">
        <is>
          <t>04_FOURNISSEURS/03_Litiges_Retours_Resiliation</t>
        </is>
      </c>
      <c r="H220" s="30" t="inlineStr">
        <is>
          <t>5</t>
        </is>
      </c>
      <c r="I220" s="30" t="inlineStr">
        <is>
          <t>Créé</t>
        </is>
      </c>
      <c r="J220" s="30" t="inlineStr">
        <is>
          <t>BROUILLON</t>
        </is>
      </c>
      <c r="K220" s="29" t="inlineStr">
        <is>
          <t>DGS-FOU-009-PV-Resiliation-Fournisseur.docx</t>
        </is>
      </c>
    </row>
    <row r="221" ht="23.85" customHeight="1" s="23">
      <c r="A221" s="28" t="inlineStr">
        <is>
          <t>DGS-ST-001</t>
        </is>
      </c>
      <c r="B221" s="29" t="inlineStr">
        <is>
          <t>Fiche sous-traitant</t>
        </is>
      </c>
      <c r="C221" s="29" t="inlineStr">
        <is>
          <t>Sous-traitants</t>
        </is>
      </c>
      <c r="D221" s="29" t="inlineStr">
        <is>
          <t>Identifier le sous-traitant et centraliser ses données</t>
        </is>
      </c>
      <c r="E221" s="29" t="inlineStr">
        <is>
          <t>DGS</t>
        </is>
      </c>
      <c r="F221" s="30" t="inlineStr">
        <is>
          <t>V1.0</t>
        </is>
      </c>
      <c r="G221" s="29" t="inlineStr">
        <is>
          <t>05_SOUS_TRAITANTS/01_Selection_Et_Contrat</t>
        </is>
      </c>
      <c r="H221" s="30" t="inlineStr">
        <is>
          <t>5</t>
        </is>
      </c>
      <c r="I221" s="30" t="inlineStr">
        <is>
          <t>Créé</t>
        </is>
      </c>
      <c r="J221" s="30" t="inlineStr">
        <is>
          <t>BROUILLON</t>
        </is>
      </c>
      <c r="K221" s="29" t="inlineStr">
        <is>
          <t>DGS-ST-001-Fiche-Sous-Traitant.docx</t>
        </is>
      </c>
    </row>
    <row r="222" ht="23.85" customHeight="1" s="23">
      <c r="A222" s="28" t="inlineStr">
        <is>
          <t>DGS-ST-002</t>
        </is>
      </c>
      <c r="B222" s="29" t="inlineStr">
        <is>
          <t>Contrat de sous-traitance</t>
        </is>
      </c>
      <c r="C222" s="29" t="inlineStr">
        <is>
          <t>Sous-traitants</t>
        </is>
      </c>
      <c r="D222" s="29" t="inlineStr">
        <is>
          <t>Encadrer les travaux confiés à un sous-traitant</t>
        </is>
      </c>
      <c r="E222" s="29" t="inlineStr">
        <is>
          <t>DGS + Sous-traitant</t>
        </is>
      </c>
      <c r="F222" s="30" t="inlineStr">
        <is>
          <t>V1.0</t>
        </is>
      </c>
      <c r="G222" s="29" t="inlineStr">
        <is>
          <t>05_SOUS_TRAITANTS/01_Selection_Et_Contrat</t>
        </is>
      </c>
      <c r="H222" s="30" t="inlineStr">
        <is>
          <t>5</t>
        </is>
      </c>
      <c r="I222" s="30" t="inlineStr">
        <is>
          <t>Créé</t>
        </is>
      </c>
      <c r="J222" s="30" t="inlineStr">
        <is>
          <t>BROUILLON</t>
        </is>
      </c>
      <c r="K222" s="29" t="inlineStr">
        <is>
          <t>DGS-ST-002-Contrat-Sous-Traitance.docx</t>
        </is>
      </c>
    </row>
    <row r="223" ht="23.85" customHeight="1" s="23">
      <c r="A223" s="28" t="inlineStr">
        <is>
          <t>DGS-ST-003</t>
        </is>
      </c>
      <c r="B223" s="29" t="inlineStr">
        <is>
          <t>PV sélection sous-traitant</t>
        </is>
      </c>
      <c r="C223" s="29" t="inlineStr">
        <is>
          <t>Sous-traitants</t>
        </is>
      </c>
      <c r="D223" s="29" t="inlineStr">
        <is>
          <t>Tracer la comparaison des offres et la sélection</t>
        </is>
      </c>
      <c r="E223" s="29" t="inlineStr">
        <is>
          <t>DGS</t>
        </is>
      </c>
      <c r="F223" s="30" t="inlineStr">
        <is>
          <t>V1.0</t>
        </is>
      </c>
      <c r="G223" s="29" t="inlineStr">
        <is>
          <t>05_SOUS_TRAITANTS/01_Selection_Et_Contrat</t>
        </is>
      </c>
      <c r="H223" s="30" t="inlineStr">
        <is>
          <t>5</t>
        </is>
      </c>
      <c r="I223" s="30" t="inlineStr">
        <is>
          <t>Créé</t>
        </is>
      </c>
      <c r="J223" s="30" t="inlineStr">
        <is>
          <t>BROUILLON</t>
        </is>
      </c>
      <c r="K223" s="29" t="inlineStr">
        <is>
          <t>DGS-ST-003-PV-Selection-Sous-Traitant.docx</t>
        </is>
      </c>
    </row>
    <row r="224" ht="23.85" customHeight="1" s="23">
      <c r="A224" s="28" t="inlineStr">
        <is>
          <t>DGS-ST-004</t>
        </is>
      </c>
      <c r="B224" s="29" t="inlineStr">
        <is>
          <t>PV démarrage sous-traitance</t>
        </is>
      </c>
      <c r="C224" s="29" t="inlineStr">
        <is>
          <t>Sous-traitants</t>
        </is>
      </c>
      <c r="D224" s="29" t="inlineStr">
        <is>
          <t>Acter le démarrage des travaux du sous-traitant</t>
        </is>
      </c>
      <c r="E224" s="29" t="inlineStr">
        <is>
          <t>DGS + Sous-traitant</t>
        </is>
      </c>
      <c r="F224" s="30" t="inlineStr">
        <is>
          <t>V1.0</t>
        </is>
      </c>
      <c r="G224" s="29" t="inlineStr">
        <is>
          <t>05_SOUS_TRAITANTS/02_Execution_Et_Controle</t>
        </is>
      </c>
      <c r="H224" s="30" t="inlineStr">
        <is>
          <t>5</t>
        </is>
      </c>
      <c r="I224" s="30" t="inlineStr">
        <is>
          <t>Créé</t>
        </is>
      </c>
      <c r="J224" s="30" t="inlineStr">
        <is>
          <t>BROUILLON</t>
        </is>
      </c>
      <c r="K224" s="29" t="inlineStr">
        <is>
          <t>DGS-ST-004-PV-Demarrage-Sous-Traitance.docx</t>
        </is>
      </c>
    </row>
    <row r="225" ht="23.85" customHeight="1" s="23">
      <c r="A225" s="28" t="inlineStr">
        <is>
          <t>DGS-ST-005</t>
        </is>
      </c>
      <c r="B225" s="29" t="inlineStr">
        <is>
          <t>PV réception travaux sous-traitant</t>
        </is>
      </c>
      <c r="C225" s="29" t="inlineStr">
        <is>
          <t>Sous-traitants</t>
        </is>
      </c>
      <c r="D225" s="29" t="inlineStr">
        <is>
          <t>Réceptionner les travaux exécutés par le sous-traitant</t>
        </is>
      </c>
      <c r="E225" s="29" t="inlineStr">
        <is>
          <t>DGS + Sous-traitant</t>
        </is>
      </c>
      <c r="F225" s="30" t="inlineStr">
        <is>
          <t>V1.0</t>
        </is>
      </c>
      <c r="G225" s="29" t="inlineStr">
        <is>
          <t>05_SOUS_TRAITANTS/02_Execution_Et_Controle</t>
        </is>
      </c>
      <c r="H225" s="30" t="inlineStr">
        <is>
          <t>5</t>
        </is>
      </c>
      <c r="I225" s="30" t="inlineStr">
        <is>
          <t>Créé</t>
        </is>
      </c>
      <c r="J225" s="30" t="inlineStr">
        <is>
          <t>BROUILLON</t>
        </is>
      </c>
      <c r="K225" s="29" t="inlineStr">
        <is>
          <t>DGS-ST-005-PV-Reception-Travaux-Sous-Traitant.docx</t>
        </is>
      </c>
    </row>
    <row r="226" ht="23.85" customHeight="1" s="23">
      <c r="A226" s="28" t="inlineStr">
        <is>
          <t>DGS-ST-006</t>
        </is>
      </c>
      <c r="B226" s="29" t="inlineStr">
        <is>
          <t>PV contrôle sous-traitant</t>
        </is>
      </c>
      <c r="C226" s="29" t="inlineStr">
        <is>
          <t>Sous-traitants</t>
        </is>
      </c>
      <c r="D226" s="29" t="inlineStr">
        <is>
          <t>Contrôler l’exécution et le respect des exigences</t>
        </is>
      </c>
      <c r="E226" s="29" t="inlineStr">
        <is>
          <t>DGS (+ Sous-traitant)</t>
        </is>
      </c>
      <c r="F226" s="30" t="inlineStr">
        <is>
          <t>V1.0</t>
        </is>
      </c>
      <c r="G226" s="29" t="inlineStr">
        <is>
          <t>05_SOUS_TRAITANTS/02_Execution_Et_Controle</t>
        </is>
      </c>
      <c r="H226" s="30" t="inlineStr">
        <is>
          <t>5</t>
        </is>
      </c>
      <c r="I226" s="30" t="inlineStr">
        <is>
          <t>Créé</t>
        </is>
      </c>
      <c r="J226" s="30" t="inlineStr">
        <is>
          <t>BROUILLON</t>
        </is>
      </c>
      <c r="K226" s="29" t="inlineStr">
        <is>
          <t>DGS-ST-006-PV-Controle-Sous-Traitant.docx</t>
        </is>
      </c>
    </row>
    <row r="227" ht="23.85" customHeight="1" s="23">
      <c r="A227" s="28" t="inlineStr">
        <is>
          <t>DGS-ST-007</t>
        </is>
      </c>
      <c r="B227" s="29" t="inlineStr">
        <is>
          <t>PV non-conformité sous-traitant</t>
        </is>
      </c>
      <c r="C227" s="29" t="inlineStr">
        <is>
          <t>Sous-traitants</t>
        </is>
      </c>
      <c r="D227" s="29" t="inlineStr">
        <is>
          <t>Constater une non-conformité et fixer la correction</t>
        </is>
      </c>
      <c r="E227" s="29" t="inlineStr">
        <is>
          <t>DGS + Sous-traitant</t>
        </is>
      </c>
      <c r="F227" s="30" t="inlineStr">
        <is>
          <t>V1.0</t>
        </is>
      </c>
      <c r="G227" s="29" t="inlineStr">
        <is>
          <t>05_SOUS_TRAITANTS/03_Litiges_Et_Fin_Prestation</t>
        </is>
      </c>
      <c r="H227" s="30" t="inlineStr">
        <is>
          <t>5</t>
        </is>
      </c>
      <c r="I227" s="30" t="inlineStr">
        <is>
          <t>Créé</t>
        </is>
      </c>
      <c r="J227" s="30" t="inlineStr">
        <is>
          <t>BROUILLON</t>
        </is>
      </c>
      <c r="K227" s="29" t="inlineStr">
        <is>
          <t>DGS-ST-007-PV-Non-Conformite-Sous-Traitant.docx</t>
        </is>
      </c>
    </row>
    <row r="228" ht="23.85" customHeight="1" s="23">
      <c r="A228" s="28" t="inlineStr">
        <is>
          <t>DGS-ST-008</t>
        </is>
      </c>
      <c r="B228" s="29" t="inlineStr">
        <is>
          <t>PV fin de prestation</t>
        </is>
      </c>
      <c r="C228" s="29" t="inlineStr">
        <is>
          <t>Sous-traitants</t>
        </is>
      </c>
      <c r="D228" s="29" t="inlineStr">
        <is>
          <t>Acter la fin des prestations du sous-traitant</t>
        </is>
      </c>
      <c r="E228" s="29" t="inlineStr">
        <is>
          <t>DGS + Sous-traitant</t>
        </is>
      </c>
      <c r="F228" s="30" t="inlineStr">
        <is>
          <t>V1.0</t>
        </is>
      </c>
      <c r="G228" s="29" t="inlineStr">
        <is>
          <t>05_SOUS_TRAITANTS/03_Litiges_Et_Fin_Prestation</t>
        </is>
      </c>
      <c r="H228" s="30" t="inlineStr">
        <is>
          <t>5</t>
        </is>
      </c>
      <c r="I228" s="30" t="inlineStr">
        <is>
          <t>Créé</t>
        </is>
      </c>
      <c r="J228" s="30" t="inlineStr">
        <is>
          <t>BROUILLON</t>
        </is>
      </c>
      <c r="K228" s="29" t="inlineStr">
        <is>
          <t>DGS-ST-008-PV-Fin-Prestation.docx</t>
        </is>
      </c>
    </row>
    <row r="229" ht="23.85" customHeight="1" s="23">
      <c r="A229" s="28" t="inlineStr">
        <is>
          <t>DGS-PER-001</t>
        </is>
      </c>
      <c r="B229" s="29" t="inlineStr">
        <is>
          <t>Fiche salarié</t>
        </is>
      </c>
      <c r="C229" s="29" t="inlineStr">
        <is>
          <t>Personnel</t>
        </is>
      </c>
      <c r="D229" s="29" t="inlineStr">
        <is>
          <t>Centraliser les données administratives d’un salarié</t>
        </is>
      </c>
      <c r="E229" s="29" t="inlineStr">
        <is>
          <t>DGS (+ Salarié)</t>
        </is>
      </c>
      <c r="F229" s="30" t="inlineStr">
        <is>
          <t>V1.0</t>
        </is>
      </c>
      <c r="G229" s="29" t="inlineStr">
        <is>
          <t>06_PERSONNEL/01_Dossier_Salarie</t>
        </is>
      </c>
      <c r="H229" s="30" t="inlineStr">
        <is>
          <t>6</t>
        </is>
      </c>
      <c r="I229" s="30" t="inlineStr">
        <is>
          <t>Créé</t>
        </is>
      </c>
      <c r="J229" s="30" t="inlineStr">
        <is>
          <t>BROUILLON</t>
        </is>
      </c>
      <c r="K229" s="29" t="inlineStr">
        <is>
          <t>DGS-PER-001-Fiche-Salarie.docx</t>
        </is>
      </c>
    </row>
    <row r="230" ht="23.85" customHeight="1" s="23">
      <c r="A230" s="28" t="inlineStr">
        <is>
          <t>DGS-PER-002</t>
        </is>
      </c>
      <c r="B230" s="29" t="inlineStr">
        <is>
          <t>PV prise de fonction</t>
        </is>
      </c>
      <c r="C230" s="29" t="inlineStr">
        <is>
          <t>Personnel</t>
        </is>
      </c>
      <c r="D230" s="29" t="inlineStr">
        <is>
          <t>Acter la prise de fonction et le poste occupé</t>
        </is>
      </c>
      <c r="E230" s="29" t="inlineStr">
        <is>
          <t>DGS + Salarié</t>
        </is>
      </c>
      <c r="F230" s="30" t="inlineStr">
        <is>
          <t>V1.0</t>
        </is>
      </c>
      <c r="G230" s="29" t="inlineStr">
        <is>
          <t>06_PERSONNEL/02_Prise_Fonction_Et_Passation</t>
        </is>
      </c>
      <c r="H230" s="30" t="inlineStr">
        <is>
          <t>6</t>
        </is>
      </c>
      <c r="I230" s="30" t="inlineStr">
        <is>
          <t>Créé</t>
        </is>
      </c>
      <c r="J230" s="30" t="inlineStr">
        <is>
          <t>BROUILLON</t>
        </is>
      </c>
      <c r="K230" s="29" t="inlineStr">
        <is>
          <t>DGS-PER-002-PV-Prise-Fonction.docx</t>
        </is>
      </c>
    </row>
    <row r="231" ht="23.85" customHeight="1" s="23">
      <c r="A231" s="28" t="inlineStr">
        <is>
          <t>DGS-PER-003</t>
        </is>
      </c>
      <c r="B231" s="29" t="inlineStr">
        <is>
          <t>PV remise matériel</t>
        </is>
      </c>
      <c r="C231" s="29" t="inlineStr">
        <is>
          <t>Personnel</t>
        </is>
      </c>
      <c r="D231" s="29" t="inlineStr">
        <is>
          <t>Acter la remise de matériel à un salarié</t>
        </is>
      </c>
      <c r="E231" s="29" t="inlineStr">
        <is>
          <t>DGS + Salarié</t>
        </is>
      </c>
      <c r="F231" s="30" t="inlineStr">
        <is>
          <t>V1.0</t>
        </is>
      </c>
      <c r="G231" s="29" t="inlineStr">
        <is>
          <t>06_PERSONNEL/03_Remise_Et_Restitution_Materiel</t>
        </is>
      </c>
      <c r="H231" s="30" t="inlineStr">
        <is>
          <t>6</t>
        </is>
      </c>
      <c r="I231" s="30" t="inlineStr">
        <is>
          <t>Créé</t>
        </is>
      </c>
      <c r="J231" s="30" t="inlineStr">
        <is>
          <t>BROUILLON</t>
        </is>
      </c>
      <c r="K231" s="29" t="inlineStr">
        <is>
          <t>DGS-PER-003-PV-Remise-Materiel.docx</t>
        </is>
      </c>
    </row>
    <row r="232" ht="23.85" customHeight="1" s="23">
      <c r="A232" s="28" t="inlineStr">
        <is>
          <t>DGS-PER-004</t>
        </is>
      </c>
      <c r="B232" s="29" t="inlineStr">
        <is>
          <t>PV remise véhicule</t>
        </is>
      </c>
      <c r="C232" s="29" t="inlineStr">
        <is>
          <t>Personnel</t>
        </is>
      </c>
      <c r="D232" s="29" t="inlineStr">
        <is>
          <t>Acter la remise d’un véhicule à un salarié</t>
        </is>
      </c>
      <c r="E232" s="29" t="inlineStr">
        <is>
          <t>DGS + Salarié</t>
        </is>
      </c>
      <c r="F232" s="30" t="inlineStr">
        <is>
          <t>V1.0</t>
        </is>
      </c>
      <c r="G232" s="29" t="inlineStr">
        <is>
          <t>06_PERSONNEL/03_Remise_Et_Restitution_Materiel</t>
        </is>
      </c>
      <c r="H232" s="30" t="inlineStr">
        <is>
          <t>6</t>
        </is>
      </c>
      <c r="I232" s="30" t="inlineStr">
        <is>
          <t>Créé</t>
        </is>
      </c>
      <c r="J232" s="30" t="inlineStr">
        <is>
          <t>BROUILLON</t>
        </is>
      </c>
      <c r="K232" s="29" t="inlineStr">
        <is>
          <t>DGS-PER-004-PV-Remise-Vehicule.docx</t>
        </is>
      </c>
    </row>
    <row r="233" ht="23.85" customHeight="1" s="23">
      <c r="A233" s="28" t="inlineStr">
        <is>
          <t>DGS-PER-005</t>
        </is>
      </c>
      <c r="B233" s="29" t="inlineStr">
        <is>
          <t>PV restitution matériel</t>
        </is>
      </c>
      <c r="C233" s="29" t="inlineStr">
        <is>
          <t>Personnel</t>
        </is>
      </c>
      <c r="D233" s="29" t="inlineStr">
        <is>
          <t>Acter la restitution du matériel par un salarié</t>
        </is>
      </c>
      <c r="E233" s="29" t="inlineStr">
        <is>
          <t>DGS + Salarié</t>
        </is>
      </c>
      <c r="F233" s="30" t="inlineStr">
        <is>
          <t>V1.0</t>
        </is>
      </c>
      <c r="G233" s="29" t="inlineStr">
        <is>
          <t>06_PERSONNEL/03_Remise_Et_Restitution_Materiel</t>
        </is>
      </c>
      <c r="H233" s="30" t="inlineStr">
        <is>
          <t>6</t>
        </is>
      </c>
      <c r="I233" s="30" t="inlineStr">
        <is>
          <t>Créé</t>
        </is>
      </c>
      <c r="J233" s="30" t="inlineStr">
        <is>
          <t>BROUILLON</t>
        </is>
      </c>
      <c r="K233" s="29" t="inlineStr">
        <is>
          <t>DGS-PER-005-PV-Restitution-Materiel.docx</t>
        </is>
      </c>
    </row>
    <row r="234" ht="23.85" customHeight="1" s="23">
      <c r="A234" s="28" t="inlineStr">
        <is>
          <t>DGS-PER-006</t>
        </is>
      </c>
      <c r="B234" s="29" t="inlineStr">
        <is>
          <t>PV formation</t>
        </is>
      </c>
      <c r="C234" s="29" t="inlineStr">
        <is>
          <t>Personnel</t>
        </is>
      </c>
      <c r="D234" s="29" t="inlineStr">
        <is>
          <t>Tracer une action de formation et la présence des participants</t>
        </is>
      </c>
      <c r="E234" s="29" t="inlineStr">
        <is>
          <t>DGS + Participants</t>
        </is>
      </c>
      <c r="F234" s="30" t="inlineStr">
        <is>
          <t>V1.0</t>
        </is>
      </c>
      <c r="G234" s="29" t="inlineStr">
        <is>
          <t>06_PERSONNEL/04_Formation_Et_HSE</t>
        </is>
      </c>
      <c r="H234" s="30" t="inlineStr">
        <is>
          <t>6</t>
        </is>
      </c>
      <c r="I234" s="30" t="inlineStr">
        <is>
          <t>Créé</t>
        </is>
      </c>
      <c r="J234" s="30" t="inlineStr">
        <is>
          <t>BROUILLON</t>
        </is>
      </c>
      <c r="K234" s="29" t="inlineStr">
        <is>
          <t>DGS-PER-006-PV-Formation.docx</t>
        </is>
      </c>
    </row>
    <row r="235" ht="23.85" customHeight="1" s="23">
      <c r="A235" s="28" t="inlineStr">
        <is>
          <t>DGS-PER-007</t>
        </is>
      </c>
      <c r="B235" s="29" t="inlineStr">
        <is>
          <t>PV sensibilisation HSE</t>
        </is>
      </c>
      <c r="C235" s="29" t="inlineStr">
        <is>
          <t>Personnel</t>
        </is>
      </c>
      <c r="D235" s="29" t="inlineStr">
        <is>
          <t>Tracer une séance de sensibilisation HSE</t>
        </is>
      </c>
      <c r="E235" s="29" t="inlineStr">
        <is>
          <t>DGS + Participants</t>
        </is>
      </c>
      <c r="F235" s="30" t="inlineStr">
        <is>
          <t>V1.0</t>
        </is>
      </c>
      <c r="G235" s="29" t="inlineStr">
        <is>
          <t>06_PERSONNEL/04_Formation_Et_HSE</t>
        </is>
      </c>
      <c r="H235" s="30" t="inlineStr">
        <is>
          <t>6</t>
        </is>
      </c>
      <c r="I235" s="30" t="inlineStr">
        <is>
          <t>Créé</t>
        </is>
      </c>
      <c r="J235" s="30" t="inlineStr">
        <is>
          <t>BROUILLON</t>
        </is>
      </c>
      <c r="K235" s="29" t="inlineStr">
        <is>
          <t>DGS-PER-007-PV-Sensibilisation-HSE.docx</t>
        </is>
      </c>
    </row>
    <row r="236" ht="23.85" customHeight="1" s="23">
      <c r="A236" s="28" t="inlineStr">
        <is>
          <t>DGS-PER-008</t>
        </is>
      </c>
      <c r="B236" s="29" t="inlineStr">
        <is>
          <t>PV passation de service</t>
        </is>
      </c>
      <c r="C236" s="29" t="inlineStr">
        <is>
          <t>Personnel</t>
        </is>
      </c>
      <c r="D236" s="29" t="inlineStr">
        <is>
          <t>Formaliser la passation entre deux responsables</t>
        </is>
      </c>
      <c r="E236" s="29" t="inlineStr">
        <is>
          <t>DGS + Sortant + Entrant</t>
        </is>
      </c>
      <c r="F236" s="30" t="inlineStr">
        <is>
          <t>V1.0</t>
        </is>
      </c>
      <c r="G236" s="29" t="inlineStr">
        <is>
          <t>06_PERSONNEL/02_Prise_Fonction_Et_Passation</t>
        </is>
      </c>
      <c r="H236" s="30" t="inlineStr">
        <is>
          <t>6</t>
        </is>
      </c>
      <c r="I236" s="30" t="inlineStr">
        <is>
          <t>Créé</t>
        </is>
      </c>
      <c r="J236" s="30" t="inlineStr">
        <is>
          <t>BROUILLON</t>
        </is>
      </c>
      <c r="K236" s="29" t="inlineStr">
        <is>
          <t>DGS-PER-008-PV-Passation-Service.docx</t>
        </is>
      </c>
    </row>
    <row r="237" ht="23.85" customHeight="1" s="23">
      <c r="A237" s="28" t="inlineStr">
        <is>
          <t>DGS-PER-009</t>
        </is>
      </c>
      <c r="B237" s="29" t="inlineStr">
        <is>
          <t>Contrat de travail à durée indéterminée</t>
        </is>
      </c>
      <c r="C237" s="29" t="inlineStr">
        <is>
          <t>Personnel</t>
        </is>
      </c>
      <c r="D237" s="29" t="inlineStr">
        <is>
          <t>Encadrer l’embauche d’un salarié à durée indéterminée [À VALIDER JURIDIQUEMENT]</t>
        </is>
      </c>
      <c r="E237" s="29" t="inlineStr">
        <is>
          <t>DGS + Salarié</t>
        </is>
      </c>
      <c r="F237" s="30" t="inlineStr">
        <is>
          <t>V1.0</t>
        </is>
      </c>
      <c r="G237" s="29" t="inlineStr">
        <is>
          <t>06_PERSONNEL/01_Dossier_Salarie</t>
        </is>
      </c>
      <c r="H237" s="30" t="inlineStr">
        <is>
          <t>9</t>
        </is>
      </c>
      <c r="I237" s="30" t="inlineStr">
        <is>
          <t>Créé</t>
        </is>
      </c>
      <c r="J237" s="30" t="inlineStr">
        <is>
          <t>BROUILLON</t>
        </is>
      </c>
      <c r="K237" s="29" t="inlineStr">
        <is>
          <t>DGS-PER-009-Contrat-Travail-Duree-Indeterminee.docx</t>
        </is>
      </c>
    </row>
    <row r="238" ht="23.85" customHeight="1" s="23">
      <c r="A238" s="28" t="inlineStr">
        <is>
          <t>DGS-PER-010</t>
        </is>
      </c>
      <c r="B238" s="29" t="inlineStr">
        <is>
          <t>Contrat de travail à durée déterminée</t>
        </is>
      </c>
      <c r="C238" s="29" t="inlineStr">
        <is>
          <t>Personnel</t>
        </is>
      </c>
      <c r="D238" s="29" t="inlineStr">
        <is>
          <t>Encadrer l’embauche d’un salarié à durée déterminée [À VALIDER JURIDIQUEMENT]</t>
        </is>
      </c>
      <c r="E238" s="29" t="inlineStr">
        <is>
          <t>DGS + Salarié</t>
        </is>
      </c>
      <c r="F238" s="30" t="inlineStr">
        <is>
          <t>V1.0</t>
        </is>
      </c>
      <c r="G238" s="29" t="inlineStr">
        <is>
          <t>06_PERSONNEL/01_Dossier_Salarie</t>
        </is>
      </c>
      <c r="H238" s="30" t="inlineStr">
        <is>
          <t>9</t>
        </is>
      </c>
      <c r="I238" s="30" t="inlineStr">
        <is>
          <t>Créé</t>
        </is>
      </c>
      <c r="J238" s="30" t="inlineStr">
        <is>
          <t>BROUILLON</t>
        </is>
      </c>
      <c r="K238" s="29" t="inlineStr">
        <is>
          <t>DGS-PER-010-Contrat-Travail-Duree-Determinee.docx</t>
        </is>
      </c>
    </row>
    <row r="239" ht="23.85" customHeight="1" s="23">
      <c r="A239" s="28" t="inlineStr">
        <is>
          <t>DGS-PER-011</t>
        </is>
      </c>
      <c r="B239" s="29" t="inlineStr">
        <is>
          <t>Attestation de travail</t>
        </is>
      </c>
      <c r="C239" s="29" t="inlineStr">
        <is>
          <t>Personnel</t>
        </is>
      </c>
      <c r="D239" s="29" t="inlineStr">
        <is>
          <t>Certifier l’emploi d’un salarié au sein de DGS</t>
        </is>
      </c>
      <c r="E239" s="29" t="inlineStr">
        <is>
          <t>DGS</t>
        </is>
      </c>
      <c r="F239" s="30" t="inlineStr">
        <is>
          <t>V1.0</t>
        </is>
      </c>
      <c r="G239" s="29" t="inlineStr">
        <is>
          <t>06_PERSONNEL/05_Absences_Missions_Attestations</t>
        </is>
      </c>
      <c r="H239" s="30" t="inlineStr">
        <is>
          <t>9</t>
        </is>
      </c>
      <c r="I239" s="30" t="inlineStr">
        <is>
          <t>Créé</t>
        </is>
      </c>
      <c r="J239" s="30" t="inlineStr">
        <is>
          <t>BROUILLON</t>
        </is>
      </c>
      <c r="K239" s="29" t="inlineStr">
        <is>
          <t>DGS-PER-011-Attestation-Travail.docx</t>
        </is>
      </c>
    </row>
    <row r="240" ht="23.85" customHeight="1" s="23">
      <c r="A240" s="28" t="inlineStr">
        <is>
          <t>DGS-PER-012</t>
        </is>
      </c>
      <c r="B240" s="29" t="inlineStr">
        <is>
          <t>Demande de congé ou d’absence</t>
        </is>
      </c>
      <c r="C240" s="29" t="inlineStr">
        <is>
          <t>Personnel</t>
        </is>
      </c>
      <c r="D240" s="29" t="inlineStr">
        <is>
          <t>Enregistrer et valider une demande de congé ou d’absence</t>
        </is>
      </c>
      <c r="E240" s="29" t="inlineStr">
        <is>
          <t>Salarié + Responsable + DGS</t>
        </is>
      </c>
      <c r="F240" s="30" t="inlineStr">
        <is>
          <t>V1.0</t>
        </is>
      </c>
      <c r="G240" s="29" t="inlineStr">
        <is>
          <t>06_PERSONNEL/05_Absences_Missions_Attestations</t>
        </is>
      </c>
      <c r="H240" s="30" t="inlineStr">
        <is>
          <t>9</t>
        </is>
      </c>
      <c r="I240" s="30" t="inlineStr">
        <is>
          <t>Créé</t>
        </is>
      </c>
      <c r="J240" s="30" t="inlineStr">
        <is>
          <t>BROUILLON</t>
        </is>
      </c>
      <c r="K240" s="29" t="inlineStr">
        <is>
          <t>DGS-PER-012-Demande-Conge-Ou-Absence.docx</t>
        </is>
      </c>
    </row>
    <row r="241" ht="23.85" customHeight="1" s="23">
      <c r="A241" s="28" t="inlineStr">
        <is>
          <t>DGS-PER-013</t>
        </is>
      </c>
      <c r="B241" s="29" t="inlineStr">
        <is>
          <t>Fiche de poste</t>
        </is>
      </c>
      <c r="C241" s="29" t="inlineStr">
        <is>
          <t>Personnel</t>
        </is>
      </c>
      <c r="D241" s="29" t="inlineStr">
        <is>
          <t>Définir les missions, responsabilités et compétences d’un poste</t>
        </is>
      </c>
      <c r="E241" s="29" t="inlineStr">
        <is>
          <t>DGS + Salarié</t>
        </is>
      </c>
      <c r="F241" s="30" t="inlineStr">
        <is>
          <t>V1.0</t>
        </is>
      </c>
      <c r="G241" s="29" t="inlineStr">
        <is>
          <t>06_PERSONNEL/01_Dossier_Salarie</t>
        </is>
      </c>
      <c r="H241" s="30" t="inlineStr">
        <is>
          <t>9</t>
        </is>
      </c>
      <c r="I241" s="30" t="inlineStr">
        <is>
          <t>Créé</t>
        </is>
      </c>
      <c r="J241" s="30" t="inlineStr">
        <is>
          <t>BROUILLON</t>
        </is>
      </c>
      <c r="K241" s="29" t="inlineStr">
        <is>
          <t>DGS-PER-013-Fiche-Poste.docx</t>
        </is>
      </c>
    </row>
    <row r="242" ht="23.85" customHeight="1" s="23">
      <c r="A242" s="28" t="inlineStr">
        <is>
          <t>DGS-PER-014</t>
        </is>
      </c>
      <c r="B242" s="29" t="inlineStr">
        <is>
          <t>Règlement intérieur</t>
        </is>
      </c>
      <c r="C242" s="29" t="inlineStr">
        <is>
          <t>Personnel</t>
        </is>
      </c>
      <c r="D242" s="29" t="inlineStr">
        <is>
          <t>Fixer les règles de discipline, d’hygiène et de sécurité applicables au personnel [À VALIDER JURIDIQUEMENT]</t>
        </is>
      </c>
      <c r="E242" s="29" t="inlineStr">
        <is>
          <t>DGS (+ accusé de réception du salarié)</t>
        </is>
      </c>
      <c r="F242" s="30" t="inlineStr">
        <is>
          <t>V1.0</t>
        </is>
      </c>
      <c r="G242" s="29" t="inlineStr">
        <is>
          <t>06_PERSONNEL/01_Dossier_Salarie</t>
        </is>
      </c>
      <c r="H242" s="30" t="inlineStr">
        <is>
          <t>9</t>
        </is>
      </c>
      <c r="I242" s="30" t="inlineStr">
        <is>
          <t>Créé</t>
        </is>
      </c>
      <c r="J242" s="30" t="inlineStr">
        <is>
          <t>BROUILLON</t>
        </is>
      </c>
      <c r="K242" s="29" t="inlineStr">
        <is>
          <t>DGS-PER-014-Reglement-Interieur.docx</t>
        </is>
      </c>
    </row>
    <row r="243" ht="23.85" customHeight="1" s="23">
      <c r="A243" s="28" t="inlineStr">
        <is>
          <t>DGS-PER-015</t>
        </is>
      </c>
      <c r="B243" s="29" t="inlineStr">
        <is>
          <t>Ordre de mission</t>
        </is>
      </c>
      <c r="C243" s="29" t="inlineStr">
        <is>
          <t>Personnel</t>
        </is>
      </c>
      <c r="D243" s="29" t="inlineStr">
        <is>
          <t>Autoriser et cadrer un déplacement professionnel</t>
        </is>
      </c>
      <c r="E243" s="29" t="inlineStr">
        <is>
          <t>DGS + Salarié</t>
        </is>
      </c>
      <c r="F243" s="30" t="inlineStr">
        <is>
          <t>V1.0</t>
        </is>
      </c>
      <c r="G243" s="29" t="inlineStr">
        <is>
          <t>06_PERSONNEL/05_Absences_Missions_Attestations</t>
        </is>
      </c>
      <c r="H243" s="30" t="inlineStr">
        <is>
          <t>9</t>
        </is>
      </c>
      <c r="I243" s="30" t="inlineStr">
        <is>
          <t>Créé</t>
        </is>
      </c>
      <c r="J243" s="30" t="inlineStr">
        <is>
          <t>BROUILLON</t>
        </is>
      </c>
      <c r="K243" s="29" t="inlineStr">
        <is>
          <t>DGS-PER-015-Ordre-Mission.docx</t>
        </is>
      </c>
    </row>
    <row r="244" ht="23.85" customHeight="1" s="23">
      <c r="A244" s="28" t="inlineStr">
        <is>
          <t>DGS-PER-016</t>
        </is>
      </c>
      <c r="B244" s="29" t="inlineStr">
        <is>
          <t>Reçu pour solde de tout compte</t>
        </is>
      </c>
      <c r="C244" s="29" t="inlineStr">
        <is>
          <t>Personnel</t>
        </is>
      </c>
      <c r="D244" s="29" t="inlineStr">
        <is>
          <t>Constater le règlement des sommes dues à un salarié qui quitte l’entreprise [À VALIDER JURIDIQUEMENT]</t>
        </is>
      </c>
      <c r="E244" s="29" t="inlineStr">
        <is>
          <t>DGS + Salarié</t>
        </is>
      </c>
      <c r="F244" s="30" t="inlineStr">
        <is>
          <t>V1.0</t>
        </is>
      </c>
      <c r="G244" s="29" t="inlineStr">
        <is>
          <t>06_PERSONNEL/06_Depart_Et_Solde</t>
        </is>
      </c>
      <c r="H244" s="30" t="inlineStr">
        <is>
          <t>9</t>
        </is>
      </c>
      <c r="I244" s="30" t="inlineStr">
        <is>
          <t>Créé</t>
        </is>
      </c>
      <c r="J244" s="30" t="inlineStr">
        <is>
          <t>BROUILLON</t>
        </is>
      </c>
      <c r="K244" s="29" t="inlineStr">
        <is>
          <t>DGS-PER-016-Recu-Pour-Solde-Tout-Compte.docx</t>
        </is>
      </c>
    </row>
    <row r="245" ht="23.85" customHeight="1" s="23">
      <c r="A245" s="28" t="inlineStr">
        <is>
          <t>DGS-MAT-001</t>
        </is>
      </c>
      <c r="B245" s="29" t="inlineStr">
        <is>
          <t>PV réception véhicule</t>
        </is>
      </c>
      <c r="C245" s="29" t="inlineStr">
        <is>
          <t>Véhicules / Matériels</t>
        </is>
      </c>
      <c r="D245" s="29" t="inlineStr">
        <is>
          <t>Réceptionner un véhicule (livraison, état, documents)</t>
        </is>
      </c>
      <c r="E245" s="29" t="inlineStr">
        <is>
          <t>DGS (+ Vendeur)</t>
        </is>
      </c>
      <c r="F245" s="30" t="inlineStr">
        <is>
          <t>V1.0</t>
        </is>
      </c>
      <c r="G245" s="29" t="inlineStr">
        <is>
          <t>07_MATERIEL_VEHICULES/01_Vehicules</t>
        </is>
      </c>
      <c r="H245" s="30" t="inlineStr">
        <is>
          <t>6</t>
        </is>
      </c>
      <c r="I245" s="30" t="inlineStr">
        <is>
          <t>Créé</t>
        </is>
      </c>
      <c r="J245" s="30" t="inlineStr">
        <is>
          <t>BROUILLON</t>
        </is>
      </c>
      <c r="K245" s="29" t="inlineStr">
        <is>
          <t>DGS-MAT-001-PV-Reception-Vehicule.docx</t>
        </is>
      </c>
    </row>
    <row r="246" ht="23.85" customHeight="1" s="23">
      <c r="A246" s="28" t="inlineStr">
        <is>
          <t>DGS-MAT-002</t>
        </is>
      </c>
      <c r="B246" s="29" t="inlineStr">
        <is>
          <t>PV affectation véhicule</t>
        </is>
      </c>
      <c r="C246" s="29" t="inlineStr">
        <is>
          <t>Véhicules / Matériels</t>
        </is>
      </c>
      <c r="D246" s="29" t="inlineStr">
        <is>
          <t>Affecter un véhicule à un salarié ou à un chantier</t>
        </is>
      </c>
      <c r="E246" s="29" t="inlineStr">
        <is>
          <t>DGS + Affectataire</t>
        </is>
      </c>
      <c r="F246" s="30" t="inlineStr">
        <is>
          <t>V1.0</t>
        </is>
      </c>
      <c r="G246" s="29" t="inlineStr">
        <is>
          <t>07_MATERIEL_VEHICULES/01_Vehicules</t>
        </is>
      </c>
      <c r="H246" s="30" t="inlineStr">
        <is>
          <t>6</t>
        </is>
      </c>
      <c r="I246" s="30" t="inlineStr">
        <is>
          <t>Créé</t>
        </is>
      </c>
      <c r="J246" s="30" t="inlineStr">
        <is>
          <t>BROUILLON</t>
        </is>
      </c>
      <c r="K246" s="29" t="inlineStr">
        <is>
          <t>DGS-MAT-002-PV-Affectation-Vehicule.docx</t>
        </is>
      </c>
    </row>
    <row r="247" ht="23.85" customHeight="1" s="23">
      <c r="A247" s="28" t="inlineStr">
        <is>
          <t>DGS-MAT-003</t>
        </is>
      </c>
      <c r="B247" s="29" t="inlineStr">
        <is>
          <t>PV état du véhicule</t>
        </is>
      </c>
      <c r="C247" s="29" t="inlineStr">
        <is>
          <t>Véhicules / Matériels</t>
        </is>
      </c>
      <c r="D247" s="29" t="inlineStr">
        <is>
          <t>Constater l’état du véhicule (remise / restitution)</t>
        </is>
      </c>
      <c r="E247" s="29" t="inlineStr">
        <is>
          <t>DGS + Conducteur</t>
        </is>
      </c>
      <c r="F247" s="30" t="inlineStr">
        <is>
          <t>V1.0</t>
        </is>
      </c>
      <c r="G247" s="29" t="inlineStr">
        <is>
          <t>07_MATERIEL_VEHICULES/01_Vehicules</t>
        </is>
      </c>
      <c r="H247" s="30" t="inlineStr">
        <is>
          <t>6</t>
        </is>
      </c>
      <c r="I247" s="30" t="inlineStr">
        <is>
          <t>Créé</t>
        </is>
      </c>
      <c r="J247" s="30" t="inlineStr">
        <is>
          <t>BROUILLON</t>
        </is>
      </c>
      <c r="K247" s="29" t="inlineStr">
        <is>
          <t>DGS-MAT-003-PV-Etat-Vehicule.docx</t>
        </is>
      </c>
    </row>
    <row r="248" ht="23.85" customHeight="1" s="23">
      <c r="A248" s="28" t="inlineStr">
        <is>
          <t>DGS-MAT-004</t>
        </is>
      </c>
      <c r="B248" s="29" t="inlineStr">
        <is>
          <t>PV accident véhicule</t>
        </is>
      </c>
      <c r="C248" s="29" t="inlineStr">
        <is>
          <t>Véhicules / Matériels</t>
        </is>
      </c>
      <c r="D248" s="29" t="inlineStr">
        <is>
          <t>Consigner un accident de véhicule et les suites</t>
        </is>
      </c>
      <c r="E248" s="29" t="inlineStr">
        <is>
          <t>DGS + Conducteur</t>
        </is>
      </c>
      <c r="F248" s="30" t="inlineStr">
        <is>
          <t>V1.0</t>
        </is>
      </c>
      <c r="G248" s="29" t="inlineStr">
        <is>
          <t>07_MATERIEL_VEHICULES/01_Vehicules</t>
        </is>
      </c>
      <c r="H248" s="30" t="inlineStr">
        <is>
          <t>6</t>
        </is>
      </c>
      <c r="I248" s="30" t="inlineStr">
        <is>
          <t>Créé</t>
        </is>
      </c>
      <c r="J248" s="30" t="inlineStr">
        <is>
          <t>BROUILLON</t>
        </is>
      </c>
      <c r="K248" s="29" t="inlineStr">
        <is>
          <t>DGS-MAT-004-PV-Accident-Vehicule.docx</t>
        </is>
      </c>
    </row>
    <row r="249" ht="23.85" customHeight="1" s="23">
      <c r="A249" s="28" t="inlineStr">
        <is>
          <t>DGS-MAT-005</t>
        </is>
      </c>
      <c r="B249" s="29" t="inlineStr">
        <is>
          <t>PV restitution véhicule</t>
        </is>
      </c>
      <c r="C249" s="29" t="inlineStr">
        <is>
          <t>Véhicules / Matériels</t>
        </is>
      </c>
      <c r="D249" s="29" t="inlineStr">
        <is>
          <t>Acter la restitution d’un véhicule</t>
        </is>
      </c>
      <c r="E249" s="29" t="inlineStr">
        <is>
          <t>DGS + Conducteur</t>
        </is>
      </c>
      <c r="F249" s="30" t="inlineStr">
        <is>
          <t>V1.0</t>
        </is>
      </c>
      <c r="G249" s="29" t="inlineStr">
        <is>
          <t>07_MATERIEL_VEHICULES/01_Vehicules</t>
        </is>
      </c>
      <c r="H249" s="30" t="inlineStr">
        <is>
          <t>6</t>
        </is>
      </c>
      <c r="I249" s="30" t="inlineStr">
        <is>
          <t>Créé</t>
        </is>
      </c>
      <c r="J249" s="30" t="inlineStr">
        <is>
          <t>BROUILLON</t>
        </is>
      </c>
      <c r="K249" s="29" t="inlineStr">
        <is>
          <t>DGS-MAT-005-PV-Restitution-Vehicule.docx</t>
        </is>
      </c>
    </row>
    <row r="250" ht="23.85" customHeight="1" s="23">
      <c r="A250" s="28" t="inlineStr">
        <is>
          <t>DGS-MAT-006</t>
        </is>
      </c>
      <c r="B250" s="29" t="inlineStr">
        <is>
          <t>PV mise en service équipement</t>
        </is>
      </c>
      <c r="C250" s="29" t="inlineStr">
        <is>
          <t>Véhicules / Matériels</t>
        </is>
      </c>
      <c r="D250" s="29" t="inlineStr">
        <is>
          <t>Acter la mise en service d’un équipement</t>
        </is>
      </c>
      <c r="E250" s="29" t="inlineStr">
        <is>
          <t>DGS (+ Utilisateur)</t>
        </is>
      </c>
      <c r="F250" s="30" t="inlineStr">
        <is>
          <t>V1.0</t>
        </is>
      </c>
      <c r="G250" s="29" t="inlineStr">
        <is>
          <t>07_MATERIEL_VEHICULES/02_Equipements</t>
        </is>
      </c>
      <c r="H250" s="30" t="inlineStr">
        <is>
          <t>6</t>
        </is>
      </c>
      <c r="I250" s="30" t="inlineStr">
        <is>
          <t>Créé</t>
        </is>
      </c>
      <c r="J250" s="30" t="inlineStr">
        <is>
          <t>BROUILLON</t>
        </is>
      </c>
      <c r="K250" s="29" t="inlineStr">
        <is>
          <t>DGS-MAT-006-PV-Mise-En-Service-Equipement.docx</t>
        </is>
      </c>
    </row>
    <row r="251" ht="23.85" customHeight="1" s="23">
      <c r="A251" s="28" t="inlineStr">
        <is>
          <t>DGS-MAT-007</t>
        </is>
      </c>
      <c r="B251" s="29" t="inlineStr">
        <is>
          <t>PV mise hors service</t>
        </is>
      </c>
      <c r="C251" s="29" t="inlineStr">
        <is>
          <t>Véhicules / Matériels</t>
        </is>
      </c>
      <c r="D251" s="29" t="inlineStr">
        <is>
          <t>Acter la mise hors service d’un véhicule ou équipement</t>
        </is>
      </c>
      <c r="E251" s="29" t="inlineStr">
        <is>
          <t>DGS</t>
        </is>
      </c>
      <c r="F251" s="30" t="inlineStr">
        <is>
          <t>V1.0</t>
        </is>
      </c>
      <c r="G251" s="29" t="inlineStr">
        <is>
          <t>07_MATERIEL_VEHICULES/02_Equipements</t>
        </is>
      </c>
      <c r="H251" s="30" t="inlineStr">
        <is>
          <t>6</t>
        </is>
      </c>
      <c r="I251" s="30" t="inlineStr">
        <is>
          <t>Créé</t>
        </is>
      </c>
      <c r="J251" s="30" t="inlineStr">
        <is>
          <t>BROUILLON</t>
        </is>
      </c>
      <c r="K251" s="29" t="inlineStr">
        <is>
          <t>DGS-MAT-007-PV-Mise-Hors-Service.docx</t>
        </is>
      </c>
    </row>
    <row r="252" ht="23.85" customHeight="1" s="23">
      <c r="A252" s="28" t="inlineStr">
        <is>
          <t>DGS-MAT-008</t>
        </is>
      </c>
      <c r="B252" s="29" t="inlineStr">
        <is>
          <t>PV perte ou dégradation matériel</t>
        </is>
      </c>
      <c r="C252" s="29" t="inlineStr">
        <is>
          <t>Véhicules / Matériels</t>
        </is>
      </c>
      <c r="D252" s="29" t="inlineStr">
        <is>
          <t>Constater la perte ou la dégradation d’un matériel</t>
        </is>
      </c>
      <c r="E252" s="29" t="inlineStr">
        <is>
          <t>DGS + Salarié</t>
        </is>
      </c>
      <c r="F252" s="30" t="inlineStr">
        <is>
          <t>V1.0</t>
        </is>
      </c>
      <c r="G252" s="29" t="inlineStr">
        <is>
          <t>07_MATERIEL_VEHICULES/02_Equipements</t>
        </is>
      </c>
      <c r="H252" s="30" t="inlineStr">
        <is>
          <t>6</t>
        </is>
      </c>
      <c r="I252" s="30" t="inlineStr">
        <is>
          <t>Créé</t>
        </is>
      </c>
      <c r="J252" s="30" t="inlineStr">
        <is>
          <t>BROUILLON</t>
        </is>
      </c>
      <c r="K252" s="29" t="inlineStr">
        <is>
          <t>DGS-MAT-008-PV-Perte-Ou-Degradation-Materiel.docx</t>
        </is>
      </c>
    </row>
    <row r="253" ht="23.85" customHeight="1" s="23">
      <c r="A253" s="28" t="inlineStr">
        <is>
          <t>DGS-ADM-001</t>
        </is>
      </c>
      <c r="B253" s="29" t="inlineStr">
        <is>
          <t>Décision de l’associé unique</t>
        </is>
      </c>
      <c r="C253" s="29" t="inlineStr">
        <is>
          <t>Administration EURL</t>
        </is>
      </c>
      <c r="D253" s="29" t="inlineStr">
        <is>
          <t>Modèle général de décision de l’associé unique [À VALIDER JURIDIQUEMENT]</t>
        </is>
      </c>
      <c r="E253" s="29" t="inlineStr">
        <is>
          <t>Associé unique (+ Gérant)</t>
        </is>
      </c>
      <c r="F253" s="30" t="inlineStr">
        <is>
          <t>V1.0</t>
        </is>
      </c>
      <c r="G253" s="29" t="inlineStr">
        <is>
          <t>01_ENTREPRISE/Decisions_Associe_Unique/01_Administration</t>
        </is>
      </c>
      <c r="H253" s="30" t="inlineStr">
        <is>
          <t>7</t>
        </is>
      </c>
      <c r="I253" s="30" t="inlineStr">
        <is>
          <t>Créé</t>
        </is>
      </c>
      <c r="J253" s="30" t="inlineStr">
        <is>
          <t>BROUILLON</t>
        </is>
      </c>
      <c r="K253" s="29" t="inlineStr">
        <is>
          <t>DGS-ADM-001-Decision-Associe-Unique.docx</t>
        </is>
      </c>
    </row>
    <row r="254" ht="23.85" customHeight="1" s="23">
      <c r="A254" s="28" t="inlineStr">
        <is>
          <t>DGS-ADM-002</t>
        </is>
      </c>
      <c r="B254" s="29" t="inlineStr">
        <is>
          <t>Décision de nomination du gérant</t>
        </is>
      </c>
      <c r="C254" s="29" t="inlineStr">
        <is>
          <t>Administration EURL</t>
        </is>
      </c>
      <c r="D254" s="29" t="inlineStr">
        <is>
          <t>Nommer un gérant [À VALIDER JURIDIQUEMENT]</t>
        </is>
      </c>
      <c r="E254" s="29" t="inlineStr">
        <is>
          <t>Associé unique (+ Gérant)</t>
        </is>
      </c>
      <c r="F254" s="30" t="inlineStr">
        <is>
          <t>V1.0</t>
        </is>
      </c>
      <c r="G254" s="29" t="inlineStr">
        <is>
          <t>01_ENTREPRISE/Decisions_Associe_Unique/01_Administration</t>
        </is>
      </c>
      <c r="H254" s="30" t="inlineStr">
        <is>
          <t>7</t>
        </is>
      </c>
      <c r="I254" s="30" t="inlineStr">
        <is>
          <t>Créé</t>
        </is>
      </c>
      <c r="J254" s="30" t="inlineStr">
        <is>
          <t>BROUILLON</t>
        </is>
      </c>
      <c r="K254" s="29" t="inlineStr">
        <is>
          <t>DGS-ADM-002-Decision-Nomination-Gerant.docx</t>
        </is>
      </c>
    </row>
    <row r="255" ht="23.85" customHeight="1" s="23">
      <c r="A255" s="28" t="inlineStr">
        <is>
          <t>DGS-ADM-003</t>
        </is>
      </c>
      <c r="B255" s="29" t="inlineStr">
        <is>
          <t>Décision de renouvellement du gérant</t>
        </is>
      </c>
      <c r="C255" s="29" t="inlineStr">
        <is>
          <t>Administration EURL</t>
        </is>
      </c>
      <c r="D255" s="29" t="inlineStr">
        <is>
          <t>Renouveler le mandat du gérant [À VALIDER JURIDIQUEMENT]</t>
        </is>
      </c>
      <c r="E255" s="29" t="inlineStr">
        <is>
          <t>Associé unique (+ Gérant)</t>
        </is>
      </c>
      <c r="F255" s="30" t="inlineStr">
        <is>
          <t>V1.0</t>
        </is>
      </c>
      <c r="G255" s="29" t="inlineStr">
        <is>
          <t>01_ENTREPRISE/Decisions_Associe_Unique/01_Administration</t>
        </is>
      </c>
      <c r="H255" s="30" t="inlineStr">
        <is>
          <t>7</t>
        </is>
      </c>
      <c r="I255" s="30" t="inlineStr">
        <is>
          <t>Créé</t>
        </is>
      </c>
      <c r="J255" s="30" t="inlineStr">
        <is>
          <t>BROUILLON</t>
        </is>
      </c>
      <c r="K255" s="29" t="inlineStr">
        <is>
          <t>DGS-ADM-003-Decision-Renouvellement-Gerant.docx</t>
        </is>
      </c>
    </row>
    <row r="256" ht="23.85" customHeight="1" s="23">
      <c r="A256" s="28" t="inlineStr">
        <is>
          <t>DGS-ADM-004</t>
        </is>
      </c>
      <c r="B256" s="29" t="inlineStr">
        <is>
          <t>Décision de rémunération du gérant</t>
        </is>
      </c>
      <c r="C256" s="29" t="inlineStr">
        <is>
          <t>Administration EURL</t>
        </is>
      </c>
      <c r="D256" s="29" t="inlineStr">
        <is>
          <t>Fixer la rémunération du gérant [À VALIDER JURIDIQUEMENT]</t>
        </is>
      </c>
      <c r="E256" s="29" t="inlineStr">
        <is>
          <t>Associé unique (+ Gérant)</t>
        </is>
      </c>
      <c r="F256" s="30" t="inlineStr">
        <is>
          <t>V1.0</t>
        </is>
      </c>
      <c r="G256" s="29" t="inlineStr">
        <is>
          <t>01_ENTREPRISE/Decisions_Associe_Unique/01_Administration</t>
        </is>
      </c>
      <c r="H256" s="30" t="inlineStr">
        <is>
          <t>7</t>
        </is>
      </c>
      <c r="I256" s="30" t="inlineStr">
        <is>
          <t>Créé</t>
        </is>
      </c>
      <c r="J256" s="30" t="inlineStr">
        <is>
          <t>BROUILLON</t>
        </is>
      </c>
      <c r="K256" s="29" t="inlineStr">
        <is>
          <t>DGS-ADM-004-Decision-Remuneration-Gerant.docx</t>
        </is>
      </c>
    </row>
    <row r="257" ht="23.85" customHeight="1" s="23">
      <c r="A257" s="28" t="inlineStr">
        <is>
          <t>DGS-ADM-005</t>
        </is>
      </c>
      <c r="B257" s="29" t="inlineStr">
        <is>
          <t>Décision de modification des statuts</t>
        </is>
      </c>
      <c r="C257" s="29" t="inlineStr">
        <is>
          <t>Administration EURL</t>
        </is>
      </c>
      <c r="D257" s="29" t="inlineStr">
        <is>
          <t>Modifier les statuts de l’EURL [À VALIDER JURIDIQUEMENT]</t>
        </is>
      </c>
      <c r="E257" s="29" t="inlineStr">
        <is>
          <t>Associé unique (+ Gérant)</t>
        </is>
      </c>
      <c r="F257" s="30" t="inlineStr">
        <is>
          <t>V1.0</t>
        </is>
      </c>
      <c r="G257" s="29" t="inlineStr">
        <is>
          <t>01_ENTREPRISE/Decisions_Associe_Unique/01_Administration</t>
        </is>
      </c>
      <c r="H257" s="30" t="inlineStr">
        <is>
          <t>7</t>
        </is>
      </c>
      <c r="I257" s="30" t="inlineStr">
        <is>
          <t>Créé</t>
        </is>
      </c>
      <c r="J257" s="30" t="inlineStr">
        <is>
          <t>BROUILLON</t>
        </is>
      </c>
      <c r="K257" s="29" t="inlineStr">
        <is>
          <t>DGS-ADM-005-Decision-Modification-Statuts.docx</t>
        </is>
      </c>
    </row>
    <row r="258" ht="23.85" customHeight="1" s="23">
      <c r="A258" s="28" t="inlineStr">
        <is>
          <t>DGS-ADM-006</t>
        </is>
      </c>
      <c r="B258" s="29" t="inlineStr">
        <is>
          <t>Décision de transfert du siège</t>
        </is>
      </c>
      <c r="C258" s="29" t="inlineStr">
        <is>
          <t>Administration EURL</t>
        </is>
      </c>
      <c r="D258" s="29" t="inlineStr">
        <is>
          <t>Transférer le siège social [À VALIDER JURIDIQUEMENT]</t>
        </is>
      </c>
      <c r="E258" s="29" t="inlineStr">
        <is>
          <t>Associé unique (+ Gérant)</t>
        </is>
      </c>
      <c r="F258" s="30" t="inlineStr">
        <is>
          <t>V1.0</t>
        </is>
      </c>
      <c r="G258" s="29" t="inlineStr">
        <is>
          <t>01_ENTREPRISE/Decisions_Associe_Unique/01_Administration</t>
        </is>
      </c>
      <c r="H258" s="30" t="inlineStr">
        <is>
          <t>7</t>
        </is>
      </c>
      <c r="I258" s="30" t="inlineStr">
        <is>
          <t>Créé</t>
        </is>
      </c>
      <c r="J258" s="30" t="inlineStr">
        <is>
          <t>BROUILLON</t>
        </is>
      </c>
      <c r="K258" s="29" t="inlineStr">
        <is>
          <t>DGS-ADM-006-Decision-Transfert-Siege.docx</t>
        </is>
      </c>
    </row>
    <row r="259" ht="23.85" customHeight="1" s="23">
      <c r="A259" s="28" t="inlineStr">
        <is>
          <t>DGS-ADM-007</t>
        </is>
      </c>
      <c r="B259" s="29" t="inlineStr">
        <is>
          <t>Décision d’extension d’activité</t>
        </is>
      </c>
      <c r="C259" s="29" t="inlineStr">
        <is>
          <t>Administration EURL</t>
        </is>
      </c>
      <c r="D259" s="29" t="inlineStr">
        <is>
          <t>Étendre l’objet ou les activités de l’EURL [À VALIDER JURIDIQUEMENT]</t>
        </is>
      </c>
      <c r="E259" s="29" t="inlineStr">
        <is>
          <t>Associé unique (+ Gérant)</t>
        </is>
      </c>
      <c r="F259" s="30" t="inlineStr">
        <is>
          <t>V1.0</t>
        </is>
      </c>
      <c r="G259" s="29" t="inlineStr">
        <is>
          <t>01_ENTREPRISE/Decisions_Associe_Unique/01_Administration</t>
        </is>
      </c>
      <c r="H259" s="30" t="inlineStr">
        <is>
          <t>7</t>
        </is>
      </c>
      <c r="I259" s="30" t="inlineStr">
        <is>
          <t>Créé</t>
        </is>
      </c>
      <c r="J259" s="30" t="inlineStr">
        <is>
          <t>BROUILLON</t>
        </is>
      </c>
      <c r="K259" s="29" t="inlineStr">
        <is>
          <t>DGS-ADM-007-Decision-Extension-Activite.docx</t>
        </is>
      </c>
    </row>
    <row r="260" ht="23.85" customHeight="1" s="23">
      <c r="A260" s="28" t="inlineStr">
        <is>
          <t>DGS-FIN-001</t>
        </is>
      </c>
      <c r="B260" s="29" t="inlineStr">
        <is>
          <t>Décision d’investissement</t>
        </is>
      </c>
      <c r="C260" s="29" t="inlineStr">
        <is>
          <t>Administration EURL — Finance</t>
        </is>
      </c>
      <c r="D260" s="29" t="inlineStr">
        <is>
          <t>Autoriser un investissement [À VALIDER JURIDIQUEMENT]</t>
        </is>
      </c>
      <c r="E260" s="29" t="inlineStr">
        <is>
          <t>Associé unique (+ Gérant)</t>
        </is>
      </c>
      <c r="F260" s="30" t="inlineStr">
        <is>
          <t>V1.0</t>
        </is>
      </c>
      <c r="G260" s="29" t="inlineStr">
        <is>
          <t>01_ENTREPRISE/Decisions_Associe_Unique/02_Finance</t>
        </is>
      </c>
      <c r="H260" s="30" t="inlineStr">
        <is>
          <t>7</t>
        </is>
      </c>
      <c r="I260" s="30" t="inlineStr">
        <is>
          <t>Créé</t>
        </is>
      </c>
      <c r="J260" s="30" t="inlineStr">
        <is>
          <t>BROUILLON</t>
        </is>
      </c>
      <c r="K260" s="29" t="inlineStr">
        <is>
          <t>DGS-FIN-001-Decision-Investissement.docx</t>
        </is>
      </c>
    </row>
    <row r="261" ht="23.85" customHeight="1" s="23">
      <c r="A261" s="28" t="inlineStr">
        <is>
          <t>DGS-FIN-002</t>
        </is>
      </c>
      <c r="B261" s="29" t="inlineStr">
        <is>
          <t>Décision d’acquisition d’un bien</t>
        </is>
      </c>
      <c r="C261" s="29" t="inlineStr">
        <is>
          <t>Administration EURL — Finance</t>
        </is>
      </c>
      <c r="D261" s="29" t="inlineStr">
        <is>
          <t>Autoriser l’acquisition d’un bien [À VALIDER JURIDIQUEMENT]</t>
        </is>
      </c>
      <c r="E261" s="29" t="inlineStr">
        <is>
          <t>Associé unique (+ Gérant)</t>
        </is>
      </c>
      <c r="F261" s="30" t="inlineStr">
        <is>
          <t>V1.0</t>
        </is>
      </c>
      <c r="G261" s="29" t="inlineStr">
        <is>
          <t>01_ENTREPRISE/Decisions_Associe_Unique/02_Finance</t>
        </is>
      </c>
      <c r="H261" s="30" t="inlineStr">
        <is>
          <t>7</t>
        </is>
      </c>
      <c r="I261" s="30" t="inlineStr">
        <is>
          <t>Créé</t>
        </is>
      </c>
      <c r="J261" s="30" t="inlineStr">
        <is>
          <t>BROUILLON</t>
        </is>
      </c>
      <c r="K261" s="29" t="inlineStr">
        <is>
          <t>DGS-FIN-002-Decision-Acquisition-Un-Bien.docx</t>
        </is>
      </c>
    </row>
    <row r="262" ht="23.85" customHeight="1" s="23">
      <c r="A262" s="28" t="inlineStr">
        <is>
          <t>DGS-FIN-003</t>
        </is>
      </c>
      <c r="B262" s="29" t="inlineStr">
        <is>
          <t>Décision de cession d’un bien</t>
        </is>
      </c>
      <c r="C262" s="29" t="inlineStr">
        <is>
          <t>Administration EURL — Finance</t>
        </is>
      </c>
      <c r="D262" s="29" t="inlineStr">
        <is>
          <t>Autoriser la cession d’un bien [À VALIDER JURIDIQUEMENT]</t>
        </is>
      </c>
      <c r="E262" s="29" t="inlineStr">
        <is>
          <t>Associé unique (+ Gérant)</t>
        </is>
      </c>
      <c r="F262" s="30" t="inlineStr">
        <is>
          <t>V1.0</t>
        </is>
      </c>
      <c r="G262" s="29" t="inlineStr">
        <is>
          <t>01_ENTREPRISE/Decisions_Associe_Unique/02_Finance</t>
        </is>
      </c>
      <c r="H262" s="30" t="inlineStr">
        <is>
          <t>7</t>
        </is>
      </c>
      <c r="I262" s="30" t="inlineStr">
        <is>
          <t>Créé</t>
        </is>
      </c>
      <c r="J262" s="30" t="inlineStr">
        <is>
          <t>BROUILLON</t>
        </is>
      </c>
      <c r="K262" s="29" t="inlineStr">
        <is>
          <t>DGS-FIN-003-Decision-Cession-Un-Bien.docx</t>
        </is>
      </c>
    </row>
    <row r="263" ht="23.85" customHeight="1" s="23">
      <c r="A263" s="28" t="inlineStr">
        <is>
          <t>DGS-FIN-004</t>
        </is>
      </c>
      <c r="B263" s="29" t="inlineStr">
        <is>
          <t>Décision d’autorisation d’emprunt</t>
        </is>
      </c>
      <c r="C263" s="29" t="inlineStr">
        <is>
          <t>Administration EURL — Finance</t>
        </is>
      </c>
      <c r="D263" s="29" t="inlineStr">
        <is>
          <t>Autoriser la souscription d’un emprunt [À VALIDER JURIDIQUEMENT]</t>
        </is>
      </c>
      <c r="E263" s="29" t="inlineStr">
        <is>
          <t>Associé unique (+ Gérant)</t>
        </is>
      </c>
      <c r="F263" s="30" t="inlineStr">
        <is>
          <t>V1.0</t>
        </is>
      </c>
      <c r="G263" s="29" t="inlineStr">
        <is>
          <t>01_ENTREPRISE/Decisions_Associe_Unique/02_Finance</t>
        </is>
      </c>
      <c r="H263" s="30" t="inlineStr">
        <is>
          <t>7</t>
        </is>
      </c>
      <c r="I263" s="30" t="inlineStr">
        <is>
          <t>Créé</t>
        </is>
      </c>
      <c r="J263" s="30" t="inlineStr">
        <is>
          <t>BROUILLON</t>
        </is>
      </c>
      <c r="K263" s="29" t="inlineStr">
        <is>
          <t>DGS-FIN-004-Decision-Autorisation-Emprunt.docx</t>
        </is>
      </c>
    </row>
    <row r="264" ht="23.85" customHeight="1" s="23">
      <c r="A264" s="28" t="inlineStr">
        <is>
          <t>DGS-FIN-005</t>
        </is>
      </c>
      <c r="B264" s="29" t="inlineStr">
        <is>
          <t>Décision d’autorisation de crédit</t>
        </is>
      </c>
      <c r="C264" s="29" t="inlineStr">
        <is>
          <t>Administration EURL — Finance</t>
        </is>
      </c>
      <c r="D264" s="29" t="inlineStr">
        <is>
          <t>Autoriser une ouverture ou un octroi de crédit [À VALIDER JURIDIQUEMENT]</t>
        </is>
      </c>
      <c r="E264" s="29" t="inlineStr">
        <is>
          <t>Associé unique (+ Gérant)</t>
        </is>
      </c>
      <c r="F264" s="30" t="inlineStr">
        <is>
          <t>V1.0</t>
        </is>
      </c>
      <c r="G264" s="29" t="inlineStr">
        <is>
          <t>01_ENTREPRISE/Decisions_Associe_Unique/02_Finance</t>
        </is>
      </c>
      <c r="H264" s="30" t="inlineStr">
        <is>
          <t>7</t>
        </is>
      </c>
      <c r="I264" s="30" t="inlineStr">
        <is>
          <t>Créé</t>
        </is>
      </c>
      <c r="J264" s="30" t="inlineStr">
        <is>
          <t>BROUILLON</t>
        </is>
      </c>
      <c r="K264" s="29" t="inlineStr">
        <is>
          <t>DGS-FIN-005-Decision-Autorisation-Credit.docx</t>
        </is>
      </c>
    </row>
    <row r="265" ht="23.85" customHeight="1" s="23">
      <c r="A265" s="28" t="inlineStr">
        <is>
          <t>DGS-FIN-006</t>
        </is>
      </c>
      <c r="B265" s="29" t="inlineStr">
        <is>
          <t>Décision d’affectation du résultat</t>
        </is>
      </c>
      <c r="C265" s="29" t="inlineStr">
        <is>
          <t>Administration EURL — Finance</t>
        </is>
      </c>
      <c r="D265" s="29" t="inlineStr">
        <is>
          <t>Décider de l’affectation du résultat [À VALIDER JURIDIQUEMENT]</t>
        </is>
      </c>
      <c r="E265" s="29" t="inlineStr">
        <is>
          <t>Associé unique (+ Gérant)</t>
        </is>
      </c>
      <c r="F265" s="30" t="inlineStr">
        <is>
          <t>V1.0</t>
        </is>
      </c>
      <c r="G265" s="29" t="inlineStr">
        <is>
          <t>01_ENTREPRISE/Decisions_Associe_Unique/02_Finance</t>
        </is>
      </c>
      <c r="H265" s="30" t="inlineStr">
        <is>
          <t>7</t>
        </is>
      </c>
      <c r="I265" s="30" t="inlineStr">
        <is>
          <t>Créé</t>
        </is>
      </c>
      <c r="J265" s="30" t="inlineStr">
        <is>
          <t>BROUILLON</t>
        </is>
      </c>
      <c r="K265" s="29" t="inlineStr">
        <is>
          <t>DGS-FIN-006-Decision-Affectation-Resultat.docx</t>
        </is>
      </c>
    </row>
    <row r="266" ht="23.85" customHeight="1" s="23">
      <c r="A266" s="28" t="inlineStr">
        <is>
          <t>DGS-FIN-007</t>
        </is>
      </c>
      <c r="B266" s="29" t="inlineStr">
        <is>
          <t>Décision d’approbation des comptes</t>
        </is>
      </c>
      <c r="C266" s="29" t="inlineStr">
        <is>
          <t>Administration EURL — Finance</t>
        </is>
      </c>
      <c r="D266" s="29" t="inlineStr">
        <is>
          <t>Approuver les comptes de l’exercice [À VALIDER JURIDIQUEMENT]</t>
        </is>
      </c>
      <c r="E266" s="29" t="inlineStr">
        <is>
          <t>Associé unique (+ Gérant)</t>
        </is>
      </c>
      <c r="F266" s="30" t="inlineStr">
        <is>
          <t>V1.0</t>
        </is>
      </c>
      <c r="G266" s="29" t="inlineStr">
        <is>
          <t>01_ENTREPRISE/Decisions_Associe_Unique/02_Finance</t>
        </is>
      </c>
      <c r="H266" s="30" t="inlineStr">
        <is>
          <t>7</t>
        </is>
      </c>
      <c r="I266" s="30" t="inlineStr">
        <is>
          <t>Créé</t>
        </is>
      </c>
      <c r="J266" s="30" t="inlineStr">
        <is>
          <t>BROUILLON</t>
        </is>
      </c>
      <c r="K266" s="29" t="inlineStr">
        <is>
          <t>DGS-FIN-007-Decision-Approbation-Comptes.docx</t>
        </is>
      </c>
    </row>
    <row r="267" ht="23.85" customHeight="1" s="23">
      <c r="A267" s="28" t="inlineStr">
        <is>
          <t>DGS-PRO-001</t>
        </is>
      </c>
      <c r="B267" s="29" t="inlineStr">
        <is>
          <t>PV de validation d’une opération immobilière</t>
        </is>
      </c>
      <c r="C267" s="29" t="inlineStr">
        <is>
          <t>Promotion immobilière</t>
        </is>
      </c>
      <c r="D267" s="29" t="inlineStr">
        <is>
          <t>Valider la décision de principe de l’opération</t>
        </is>
      </c>
      <c r="E267" s="29" t="inlineStr">
        <is>
          <t>DGS (+ Associé unique)</t>
        </is>
      </c>
      <c r="F267" s="30" t="inlineStr">
        <is>
          <t>V1.0</t>
        </is>
      </c>
      <c r="G267" s="29" t="inlineStr">
        <is>
          <t>08_PROMOTION_IMMOBILIERE/01_Etudes_Et_Validation</t>
        </is>
      </c>
      <c r="H267" s="30" t="inlineStr">
        <is>
          <t>8</t>
        </is>
      </c>
      <c r="I267" s="30" t="inlineStr">
        <is>
          <t>Créé</t>
        </is>
      </c>
      <c r="J267" s="30" t="inlineStr">
        <is>
          <t>BROUILLON</t>
        </is>
      </c>
      <c r="K267" s="29" t="inlineStr">
        <is>
          <t>DGS-PRO-001-PV-Validation-Une-Operation-Immobiliere.docx</t>
        </is>
      </c>
    </row>
    <row r="268" ht="23.85" customHeight="1" s="23">
      <c r="A268" s="28" t="inlineStr">
        <is>
          <t>DGS-PRO-002</t>
        </is>
      </c>
      <c r="B268" s="29" t="inlineStr">
        <is>
          <t>PV de validation du terrain</t>
        </is>
      </c>
      <c r="C268" s="29" t="inlineStr">
        <is>
          <t>Promotion immobilière</t>
        </is>
      </c>
      <c r="D268" s="29" t="inlineStr">
        <is>
          <t>Valider le terrain support de l’opération</t>
        </is>
      </c>
      <c r="E268" s="29" t="inlineStr">
        <is>
          <t>DGS (+ Associé unique)</t>
        </is>
      </c>
      <c r="F268" s="30" t="inlineStr">
        <is>
          <t>V1.0</t>
        </is>
      </c>
      <c r="G268" s="29" t="inlineStr">
        <is>
          <t>08_PROMOTION_IMMOBILIERE/01_Etudes_Et_Validation</t>
        </is>
      </c>
      <c r="H268" s="30" t="inlineStr">
        <is>
          <t>8</t>
        </is>
      </c>
      <c r="I268" s="30" t="inlineStr">
        <is>
          <t>Créé</t>
        </is>
      </c>
      <c r="J268" s="30" t="inlineStr">
        <is>
          <t>BROUILLON</t>
        </is>
      </c>
      <c r="K268" s="29" t="inlineStr">
        <is>
          <t>DGS-PRO-002-PV-Validation-Terrain.docx</t>
        </is>
      </c>
    </row>
    <row r="269" ht="23.85" customHeight="1" s="23">
      <c r="A269" s="28" t="inlineStr">
        <is>
          <t>DGS-PRO-003</t>
        </is>
      </c>
      <c r="B269" s="29" t="inlineStr">
        <is>
          <t>PV de validation du programme</t>
        </is>
      </c>
      <c r="C269" s="29" t="inlineStr">
        <is>
          <t>Promotion immobilière</t>
        </is>
      </c>
      <c r="D269" s="29" t="inlineStr">
        <is>
          <t>Valider le programme (surfaces, typologies, prestations)</t>
        </is>
      </c>
      <c r="E269" s="29" t="inlineStr">
        <is>
          <t>DGS (+ Associé unique)</t>
        </is>
      </c>
      <c r="F269" s="30" t="inlineStr">
        <is>
          <t>V1.0</t>
        </is>
      </c>
      <c r="G269" s="29" t="inlineStr">
        <is>
          <t>08_PROMOTION_IMMOBILIERE/01_Etudes_Et_Validation</t>
        </is>
      </c>
      <c r="H269" s="30" t="inlineStr">
        <is>
          <t>8</t>
        </is>
      </c>
      <c r="I269" s="30" t="inlineStr">
        <is>
          <t>Créé</t>
        </is>
      </c>
      <c r="J269" s="30" t="inlineStr">
        <is>
          <t>BROUILLON</t>
        </is>
      </c>
      <c r="K269" s="29" t="inlineStr">
        <is>
          <t>DGS-PRO-003-PV-Validation-Programme.docx</t>
        </is>
      </c>
    </row>
    <row r="270" ht="23.85" customHeight="1" s="23">
      <c r="A270" s="28" t="inlineStr">
        <is>
          <t>DGS-PRO-004</t>
        </is>
      </c>
      <c r="B270" s="29" t="inlineStr">
        <is>
          <t>PV de validation de l’étude de faisabilité</t>
        </is>
      </c>
      <c r="C270" s="29" t="inlineStr">
        <is>
          <t>Promotion immobilière</t>
        </is>
      </c>
      <c r="D270" s="29" t="inlineStr">
        <is>
          <t>Valider l’étude de faisabilité</t>
        </is>
      </c>
      <c r="E270" s="29" t="inlineStr">
        <is>
          <t>DGS (+ Associé unique)</t>
        </is>
      </c>
      <c r="F270" s="30" t="inlineStr">
        <is>
          <t>V1.0</t>
        </is>
      </c>
      <c r="G270" s="29" t="inlineStr">
        <is>
          <t>08_PROMOTION_IMMOBILIERE/01_Etudes_Et_Validation</t>
        </is>
      </c>
      <c r="H270" s="30" t="inlineStr">
        <is>
          <t>8</t>
        </is>
      </c>
      <c r="I270" s="30" t="inlineStr">
        <is>
          <t>Créé</t>
        </is>
      </c>
      <c r="J270" s="30" t="inlineStr">
        <is>
          <t>BROUILLON</t>
        </is>
      </c>
      <c r="K270" s="29" t="inlineStr">
        <is>
          <t>DGS-PRO-004-PV-Validation-Etude-Faisabilite.docx</t>
        </is>
      </c>
    </row>
    <row r="271" ht="23.85" customHeight="1" s="23">
      <c r="A271" s="28" t="inlineStr">
        <is>
          <t>DGS-PRO-005</t>
        </is>
      </c>
      <c r="B271" s="29" t="inlineStr">
        <is>
          <t>PV de validation du budget</t>
        </is>
      </c>
      <c r="C271" s="29" t="inlineStr">
        <is>
          <t>Promotion immobilière</t>
        </is>
      </c>
      <c r="D271" s="29" t="inlineStr">
        <is>
          <t>Valider le budget de l’opération</t>
        </is>
      </c>
      <c r="E271" s="29" t="inlineStr">
        <is>
          <t>DGS (+ Associé unique)</t>
        </is>
      </c>
      <c r="F271" s="30" t="inlineStr">
        <is>
          <t>V1.0</t>
        </is>
      </c>
      <c r="G271" s="29" t="inlineStr">
        <is>
          <t>08_PROMOTION_IMMOBILIERE/01_Etudes_Et_Validation</t>
        </is>
      </c>
      <c r="H271" s="30" t="inlineStr">
        <is>
          <t>8</t>
        </is>
      </c>
      <c r="I271" s="30" t="inlineStr">
        <is>
          <t>Créé</t>
        </is>
      </c>
      <c r="J271" s="30" t="inlineStr">
        <is>
          <t>BROUILLON</t>
        </is>
      </c>
      <c r="K271" s="29" t="inlineStr">
        <is>
          <t>DGS-PRO-005-PV-Validation-Budget.docx</t>
        </is>
      </c>
    </row>
    <row r="272" ht="23.85" customHeight="1" s="23">
      <c r="A272" s="28" t="inlineStr">
        <is>
          <t>DGS-PRO-006</t>
        </is>
      </c>
      <c r="B272" s="29" t="inlineStr">
        <is>
          <t>PV de validation du financement</t>
        </is>
      </c>
      <c r="C272" s="29" t="inlineStr">
        <is>
          <t>Promotion immobilière</t>
        </is>
      </c>
      <c r="D272" s="29" t="inlineStr">
        <is>
          <t>Valider le plan de financement</t>
        </is>
      </c>
      <c r="E272" s="29" t="inlineStr">
        <is>
          <t>DGS (+ Associé unique)</t>
        </is>
      </c>
      <c r="F272" s="30" t="inlineStr">
        <is>
          <t>V1.0</t>
        </is>
      </c>
      <c r="G272" s="29" t="inlineStr">
        <is>
          <t>08_PROMOTION_IMMOBILIERE/02_Financement_Et_Lancement</t>
        </is>
      </c>
      <c r="H272" s="30" t="inlineStr">
        <is>
          <t>8</t>
        </is>
      </c>
      <c r="I272" s="30" t="inlineStr">
        <is>
          <t>Créé</t>
        </is>
      </c>
      <c r="J272" s="30" t="inlineStr">
        <is>
          <t>BROUILLON</t>
        </is>
      </c>
      <c r="K272" s="29" t="inlineStr">
        <is>
          <t>DGS-PRO-006-PV-Validation-Financement.docx</t>
        </is>
      </c>
    </row>
    <row r="273" ht="23.85" customHeight="1" s="23">
      <c r="A273" s="28" t="inlineStr">
        <is>
          <t>DGS-PRO-007</t>
        </is>
      </c>
      <c r="B273" s="29" t="inlineStr">
        <is>
          <t>PV de lancement de l’opération</t>
        </is>
      </c>
      <c r="C273" s="29" t="inlineStr">
        <is>
          <t>Promotion immobilière</t>
        </is>
      </c>
      <c r="D273" s="29" t="inlineStr">
        <is>
          <t>Acter le lancement de l’opération</t>
        </is>
      </c>
      <c r="E273" s="29" t="inlineStr">
        <is>
          <t>DGS (+ intervenants)</t>
        </is>
      </c>
      <c r="F273" s="30" t="inlineStr">
        <is>
          <t>V1.0</t>
        </is>
      </c>
      <c r="G273" s="29" t="inlineStr">
        <is>
          <t>08_PROMOTION_IMMOBILIERE/02_Financement_Et_Lancement</t>
        </is>
      </c>
      <c r="H273" s="30" t="inlineStr">
        <is>
          <t>8</t>
        </is>
      </c>
      <c r="I273" s="30" t="inlineStr">
        <is>
          <t>Créé</t>
        </is>
      </c>
      <c r="J273" s="30" t="inlineStr">
        <is>
          <t>BROUILLON</t>
        </is>
      </c>
      <c r="K273" s="29" t="inlineStr">
        <is>
          <t>DGS-PRO-007-PV-Lancement-Operation.docx</t>
        </is>
      </c>
    </row>
    <row r="274" ht="23.85" customHeight="1" s="23">
      <c r="A274" s="28" t="inlineStr">
        <is>
          <t>DGS-PRO-008</t>
        </is>
      </c>
      <c r="B274" s="29" t="inlineStr">
        <is>
          <t>PV de suivi de l’opération</t>
        </is>
      </c>
      <c r="C274" s="29" t="inlineStr">
        <is>
          <t>Promotion immobilière</t>
        </is>
      </c>
      <c r="D274" s="29" t="inlineStr">
        <is>
          <t>Suivre l’avancement technique, financier et commercial</t>
        </is>
      </c>
      <c r="E274" s="29" t="inlineStr">
        <is>
          <t>DGS (+ intervenants)</t>
        </is>
      </c>
      <c r="F274" s="30" t="inlineStr">
        <is>
          <t>V1.0</t>
        </is>
      </c>
      <c r="G274" s="29" t="inlineStr">
        <is>
          <t>08_PROMOTION_IMMOBILIERE/03_Suivi_Operation</t>
        </is>
      </c>
      <c r="H274" s="30" t="inlineStr">
        <is>
          <t>8</t>
        </is>
      </c>
      <c r="I274" s="30" t="inlineStr">
        <is>
          <t>Créé</t>
        </is>
      </c>
      <c r="J274" s="30" t="inlineStr">
        <is>
          <t>BROUILLON</t>
        </is>
      </c>
      <c r="K274" s="29" t="inlineStr">
        <is>
          <t>DGS-PRO-008-PV-Suivi-Operation.docx</t>
        </is>
      </c>
    </row>
    <row r="275" ht="23.85" customHeight="1" s="23">
      <c r="A275" s="28" t="inlineStr">
        <is>
          <t>DGS-PRO-009</t>
        </is>
      </c>
      <c r="B275" s="29" t="inlineStr">
        <is>
          <t>PV de réception (promotion)</t>
        </is>
      </c>
      <c r="C275" s="29" t="inlineStr">
        <is>
          <t>Promotion immobilière</t>
        </is>
      </c>
      <c r="D275" s="29" t="inlineStr">
        <is>
          <t>Réceptionner l’opération ou un lot de l’opération</t>
        </is>
      </c>
      <c r="E275" s="29" t="inlineStr">
        <is>
          <t>DGS + intervenants</t>
        </is>
      </c>
      <c r="F275" s="30" t="inlineStr">
        <is>
          <t>V1.0</t>
        </is>
      </c>
      <c r="G275" s="29" t="inlineStr">
        <is>
          <t>08_PROMOTION_IMMOBILIERE/04_Livraison_Et_Remise_Cles</t>
        </is>
      </c>
      <c r="H275" s="30" t="inlineStr">
        <is>
          <t>8</t>
        </is>
      </c>
      <c r="I275" s="30" t="inlineStr">
        <is>
          <t>Créé</t>
        </is>
      </c>
      <c r="J275" s="30" t="inlineStr">
        <is>
          <t>BROUILLON</t>
        </is>
      </c>
      <c r="K275" s="29" t="inlineStr">
        <is>
          <t>DGS-PRO-009-PV-Reception-Promotion.docx</t>
        </is>
      </c>
    </row>
    <row r="276" ht="23.85" customHeight="1" s="23">
      <c r="A276" s="28" t="inlineStr">
        <is>
          <t>DGS-PRO-010</t>
        </is>
      </c>
      <c r="B276" s="29" t="inlineStr">
        <is>
          <t>PV de livraison des logements</t>
        </is>
      </c>
      <c r="C276" s="29" t="inlineStr">
        <is>
          <t>Promotion immobilière</t>
        </is>
      </c>
      <c r="D276" s="29" t="inlineStr">
        <is>
          <t>Acter la livraison de chaque logement</t>
        </is>
      </c>
      <c r="E276" s="29" t="inlineStr">
        <is>
          <t>DGS + Acquéreur</t>
        </is>
      </c>
      <c r="F276" s="30" t="inlineStr">
        <is>
          <t>V1.0</t>
        </is>
      </c>
      <c r="G276" s="29" t="inlineStr">
        <is>
          <t>08_PROMOTION_IMMOBILIERE/04_Livraison_Et_Remise_Cles</t>
        </is>
      </c>
      <c r="H276" s="30" t="inlineStr">
        <is>
          <t>8</t>
        </is>
      </c>
      <c r="I276" s="30" t="inlineStr">
        <is>
          <t>Créé</t>
        </is>
      </c>
      <c r="J276" s="30" t="inlineStr">
        <is>
          <t>BROUILLON</t>
        </is>
      </c>
      <c r="K276" s="29" t="inlineStr">
        <is>
          <t>DGS-PRO-010-PV-Livraison-Logements.docx</t>
        </is>
      </c>
    </row>
    <row r="277" ht="23.85" customHeight="1" s="23">
      <c r="A277" s="28" t="inlineStr">
        <is>
          <t>DGS-PRO-011</t>
        </is>
      </c>
      <c r="B277" s="29" t="inlineStr">
        <is>
          <t>PV de remise des clés (promotion)</t>
        </is>
      </c>
      <c r="C277" s="29" t="inlineStr">
        <is>
          <t>Promotion immobilière</t>
        </is>
      </c>
      <c r="D277" s="29" t="inlineStr">
        <is>
          <t>Acter la remise des clés de chaque logement</t>
        </is>
      </c>
      <c r="E277" s="29" t="inlineStr">
        <is>
          <t>DGS + Acquéreur</t>
        </is>
      </c>
      <c r="F277" s="30" t="inlineStr">
        <is>
          <t>V1.0</t>
        </is>
      </c>
      <c r="G277" s="29" t="inlineStr">
        <is>
          <t>08_PROMOTION_IMMOBILIERE/04_Livraison_Et_Remise_Cles</t>
        </is>
      </c>
      <c r="H277" s="30" t="inlineStr">
        <is>
          <t>8</t>
        </is>
      </c>
      <c r="I277" s="30" t="inlineStr">
        <is>
          <t>Créé</t>
        </is>
      </c>
      <c r="J277" s="30" t="inlineStr">
        <is>
          <t>BROUILLON</t>
        </is>
      </c>
      <c r="K277" s="29" t="inlineStr">
        <is>
          <t>DGS-PRO-011-PV-Remise-Cles-Promotion.docx</t>
        </is>
      </c>
    </row>
    <row r="278" ht="23.85" customHeight="1" s="23">
      <c r="A278" s="28" t="inlineStr">
        <is>
          <t>DGS-SYS-001</t>
        </is>
      </c>
      <c r="B278" s="29" t="inlineStr">
        <is>
          <t>DGS Master Document Template</t>
        </is>
      </c>
      <c r="C278" s="29" t="inlineStr">
        <is>
          <t>Système documentaire</t>
        </is>
      </c>
      <c r="D278" s="29" t="inlineStr">
        <is>
          <t>Modèle maître reproduisant le document de référence DGS (en-tête, titres, tableaux, signature)</t>
        </is>
      </c>
      <c r="E278" s="29" t="inlineStr">
        <is>
          <t>Aucune (modèle)</t>
        </is>
      </c>
      <c r="F278" s="30" t="inlineStr">
        <is>
          <t>V1.0</t>
        </is>
      </c>
      <c r="G278" s="29" t="inlineStr">
        <is>
          <t>09_MODELES_MASTER</t>
        </is>
      </c>
      <c r="H278" s="30" t="inlineStr">
        <is>
          <t>1</t>
        </is>
      </c>
      <c r="I278" s="30" t="inlineStr">
        <is>
          <t>Créé</t>
        </is>
      </c>
      <c r="J278" s="30" t="inlineStr">
        <is>
          <t>BROUILLON</t>
        </is>
      </c>
      <c r="K278" s="29" t="inlineStr">
        <is>
          <t>DGS-SYS-001-Master-Document-Template.docx</t>
        </is>
      </c>
    </row>
    <row r="279" ht="23.85" customHeight="1" s="23">
      <c r="A279" s="28" t="inlineStr">
        <is>
          <t>DGS-SYS-002</t>
        </is>
      </c>
      <c r="B279" s="29" t="inlineStr">
        <is>
          <t>README — Système documentaire DGS</t>
        </is>
      </c>
      <c r="C279" s="29" t="inlineStr">
        <is>
          <t>Système documentaire</t>
        </is>
      </c>
      <c r="D279" s="29" t="inlineStr">
        <is>
          <t>Guide d’utilisation : charte, dossiers, codes, versions, validation, signature, archivage</t>
        </is>
      </c>
      <c r="E279" s="29" t="inlineStr">
        <is>
          <t>DGS (approbation)</t>
        </is>
      </c>
      <c r="F279" s="30" t="inlineStr">
        <is>
          <t>V1.0</t>
        </is>
      </c>
      <c r="G279" s="29" t="inlineStr">
        <is>
          <t>00_README</t>
        </is>
      </c>
      <c r="H279" s="30" t="inlineStr">
        <is>
          <t>1</t>
        </is>
      </c>
      <c r="I279" s="30" t="inlineStr">
        <is>
          <t>Créé</t>
        </is>
      </c>
      <c r="J279" s="30" t="inlineStr">
        <is>
          <t>BROUILLON</t>
        </is>
      </c>
      <c r="K279" s="29" t="inlineStr">
        <is>
          <t>README-DGS-DOCUMENT-SYSTEM.docx</t>
        </is>
      </c>
    </row>
    <row r="280" ht="23.85" customHeight="1" s="23">
      <c r="A280" s="28" t="inlineStr">
        <is>
          <t>DGS-SYS-003</t>
        </is>
      </c>
      <c r="B280" s="29" t="inlineStr">
        <is>
          <t>Index des documents DGS</t>
        </is>
      </c>
      <c r="C280" s="29" t="inlineStr">
        <is>
          <t>Système documentaire</t>
        </is>
      </c>
      <c r="D280" s="29" t="inlineStr">
        <is>
          <t>Nomenclature et suivi de tous les documents (Excel + Word)</t>
        </is>
      </c>
      <c r="E280" s="29" t="inlineStr">
        <is>
          <t>Aucune</t>
        </is>
      </c>
      <c r="F280" s="30" t="inlineStr">
        <is>
          <t>V1.0</t>
        </is>
      </c>
      <c r="G280" s="29" t="inlineStr">
        <is>
          <t>00_README</t>
        </is>
      </c>
      <c r="H280" s="30" t="inlineStr">
        <is>
          <t>1</t>
        </is>
      </c>
      <c r="I280" s="30" t="inlineStr">
        <is>
          <t>Créé</t>
        </is>
      </c>
      <c r="J280" s="30" t="inlineStr">
        <is>
          <t>BROUILLON</t>
        </is>
      </c>
      <c r="K280" s="29" t="inlineStr">
        <is>
          <t>INDEX-DGS-DOCUMENTS.docx</t>
        </is>
      </c>
    </row>
    <row r="281" ht="23.85" customHeight="1" s="23">
      <c r="A281" s="28" t="inlineStr">
        <is>
          <t>DGS-SYS-004</t>
        </is>
      </c>
      <c r="B281" s="29" t="inlineStr">
        <is>
          <t>Rapport de livraison et liste de validation juridique</t>
        </is>
      </c>
      <c r="C281" s="29" t="inlineStr">
        <is>
          <t>Système documentaire</t>
        </is>
      </c>
      <c r="D281" s="29" t="inlineStr">
        <is>
          <t>Suivi des fichiers créés et des points à valider par un juriste</t>
        </is>
      </c>
      <c r="E281" s="29" t="inlineStr">
        <is>
          <t>DGS (approbation)</t>
        </is>
      </c>
      <c r="F281" s="30" t="inlineStr">
        <is>
          <t>V1.0</t>
        </is>
      </c>
      <c r="G281" s="29" t="inlineStr">
        <is>
          <t>00_README</t>
        </is>
      </c>
      <c r="H281" s="30" t="inlineStr">
        <is>
          <t>1</t>
        </is>
      </c>
      <c r="I281" s="30" t="inlineStr">
        <is>
          <t>Créé</t>
        </is>
      </c>
      <c r="J281" s="30" t="inlineStr">
        <is>
          <t>BROUILLON</t>
        </is>
      </c>
      <c r="K281" s="29" t="inlineStr">
        <is>
          <t>DGS-SYS-004-Rapport-Livraison-Validation-Juridique.docx</t>
        </is>
      </c>
    </row>
    <row r="282" ht="23.85" customHeight="1" s="23">
      <c r="A282" s="28" t="inlineStr">
        <is>
          <t>DGS-SYS-005</t>
        </is>
      </c>
      <c r="B282" s="29" t="inlineStr">
        <is>
          <t>Guide d’intégration BLACKREBEL OS</t>
        </is>
      </c>
      <c r="C282" s="29" t="inlineStr">
        <is>
          <t>Système documentaire</t>
        </is>
      </c>
      <c r="D282" s="29" t="inlineStr">
        <is>
          <t>Expliquer la convention des champs entre crochets et l’usage de l’outil de remplissage automatique</t>
        </is>
      </c>
      <c r="E282" s="29" t="inlineStr">
        <is>
          <t>DGS (approbation)</t>
        </is>
      </c>
      <c r="F282" s="30" t="inlineStr">
        <is>
          <t>V1.0</t>
        </is>
      </c>
      <c r="G282" s="29" t="inlineStr">
        <is>
          <t>00_README</t>
        </is>
      </c>
      <c r="H282" s="30" t="inlineStr">
        <is>
          <t>13</t>
        </is>
      </c>
      <c r="I282" s="30" t="inlineStr">
        <is>
          <t>Créé</t>
        </is>
      </c>
      <c r="J282" s="30" t="inlineStr">
        <is>
          <t>BROUILLON</t>
        </is>
      </c>
      <c r="K282" s="29" t="inlineStr">
        <is>
          <t>DGS-SYS-005-Guide-Integration-BLACKREBEL.docx</t>
        </is>
      </c>
    </row>
    <row r="283" ht="23.85" customHeight="1" s="23">
      <c r="A283" s="28" t="inlineStr">
        <is>
          <t>DGS-SYS-006</t>
        </is>
      </c>
      <c r="B283" s="29" t="inlineStr">
        <is>
          <t>Catalogue des champs variables (BLACKREBEL)</t>
        </is>
      </c>
      <c r="C283" s="29" t="inlineStr">
        <is>
          <t>Système documentaire</t>
        </is>
      </c>
      <c r="D283" s="29" t="inlineStr">
        <is>
          <t>Lister, document par document, les champs remplissables automatiquement et leur clé</t>
        </is>
      </c>
      <c r="E283" s="29" t="inlineStr">
        <is>
          <t>Aucune (référentiel technique)</t>
        </is>
      </c>
      <c r="F283" s="30" t="inlineStr">
        <is>
          <t>V1.0</t>
        </is>
      </c>
      <c r="G283" s="29" t="inlineStr">
        <is>
          <t>00_README</t>
        </is>
      </c>
      <c r="H283" s="30" t="inlineStr">
        <is>
          <t>13</t>
        </is>
      </c>
      <c r="I283" s="30" t="inlineStr">
        <is>
          <t>Créé</t>
        </is>
      </c>
      <c r="J283" s="30" t="inlineStr">
        <is>
          <t>BROUILLON</t>
        </is>
      </c>
      <c r="K283" s="29" t="inlineStr">
        <is>
          <t>DGS-SYS-006-Catalogue-Champs-BLACKREBEL.xlsx</t>
        </is>
      </c>
    </row>
  </sheetData>
  <autoFilter ref="A4:K283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2" min="1" max="1"/>
    <col width="70" customWidth="1" style="22" min="2" max="2"/>
    <col width="13" customWidth="1" style="22" min="3" max="3"/>
    <col width="11" customWidth="1" style="22" min="4" max="5"/>
  </cols>
  <sheetData>
    <row r="1" ht="17.35" customHeight="1" s="23">
      <c r="A1" s="31" t="inlineStr">
        <is>
          <t>SYNTHÈSE — avancement de la création</t>
        </is>
      </c>
    </row>
    <row r="2" ht="15" customHeight="1" s="23">
      <c r="A2" s="32" t="inlineStr">
        <is>
          <t>Les chiffres se recalculent automatiquement à partir de la feuille INDEX (colonnes Lot et Statut de création).</t>
        </is>
      </c>
    </row>
    <row r="4" ht="15" customHeight="1" s="23">
      <c r="A4" s="33" t="inlineStr">
        <is>
          <t>Lot</t>
        </is>
      </c>
      <c r="B4" s="33" t="inlineStr">
        <is>
          <t>Contenu</t>
        </is>
      </c>
      <c r="C4" s="33" t="inlineStr">
        <is>
          <t>Documents</t>
        </is>
      </c>
      <c r="D4" s="33" t="inlineStr">
        <is>
          <t>Créés</t>
        </is>
      </c>
      <c r="E4" s="33" t="inlineStr">
        <is>
          <t>À créer</t>
        </is>
      </c>
    </row>
    <row r="5" ht="23.85" customHeight="1" s="23">
      <c r="A5" s="34" t="inlineStr">
        <is>
          <t>1</t>
        </is>
      </c>
      <c r="B5" s="35" t="inlineStr">
        <is>
          <t>Master Template, README, Index, Rapport, Fiche client, Fiche projet, Devis, Offre commerciale, Bon pour accord</t>
        </is>
      </c>
      <c r="C5" s="34">
        <f>COUNTIF(INDEX!$H$5:$H$283,A5)</f>
        <v/>
      </c>
      <c r="D5" s="34">
        <f>COUNTIFS(INDEX!$H$5:$H$283,A5,INDEX!$I$5:$I$283,"Créé")</f>
        <v/>
      </c>
      <c r="E5" s="34">
        <f>COUNTIFS(INDEX!$H$5:$H$283,A5,INDEX!$I$5:$I$283,"À créer")</f>
        <v/>
      </c>
    </row>
    <row r="6" ht="15" customHeight="1" s="23">
      <c r="A6" s="34" t="inlineStr">
        <is>
          <t>2</t>
        </is>
      </c>
      <c r="B6" s="35" t="inlineStr">
        <is>
          <t>Contrat général de travaux, rénovation, finition, clé en main, avenant</t>
        </is>
      </c>
      <c r="C6" s="34">
        <f>COUNTIF(INDEX!$H$5:$H$283,A6)</f>
        <v/>
      </c>
      <c r="D6" s="34">
        <f>COUNTIFS(INDEX!$H$5:$H$283,A6,INDEX!$I$5:$I$283,"Créé")</f>
        <v/>
      </c>
      <c r="E6" s="34">
        <f>COUNTIFS(INDEX!$H$5:$H$283,A6,INDEX!$I$5:$I$283,"À créer")</f>
        <v/>
      </c>
    </row>
    <row r="7" ht="23.85" customHeight="1" s="23">
      <c r="A7" s="34" t="inlineStr">
        <is>
          <t>2B</t>
        </is>
      </c>
      <c r="B7" s="35" t="inlineStr">
        <is>
          <t>Autres contrats et documents client (fiches, cahier des besoins, bordereau, conditions de paiement)</t>
        </is>
      </c>
      <c r="C7" s="34">
        <f>COUNTIF(INDEX!$H$5:$H$283,A7)</f>
        <v/>
      </c>
      <c r="D7" s="34">
        <f>COUNTIFS(INDEX!$H$5:$H$283,A7,INDEX!$I$5:$I$283,"Créé")</f>
        <v/>
      </c>
      <c r="E7" s="34">
        <f>COUNTIFS(INDEX!$H$5:$H$283,A7,INDEX!$I$5:$I$283,"À créer")</f>
        <v/>
      </c>
    </row>
    <row r="8" ht="15" customHeight="1" s="23">
      <c r="A8" s="34" t="inlineStr">
        <is>
          <t>3</t>
        </is>
      </c>
      <c r="B8" s="35" t="inlineStr">
        <is>
          <t>PV client, SAV / garantie, choix des matériaux</t>
        </is>
      </c>
      <c r="C8" s="34">
        <f>COUNTIF(INDEX!$H$5:$H$283,A8)</f>
        <v/>
      </c>
      <c r="D8" s="34">
        <f>COUNTIFS(INDEX!$H$5:$H$283,A8,INDEX!$I$5:$I$283,"Créé")</f>
        <v/>
      </c>
      <c r="E8" s="34">
        <f>COUNTIFS(INDEX!$H$5:$H$283,A8,INDEX!$I$5:$I$283,"À créer")</f>
        <v/>
      </c>
    </row>
    <row r="9" ht="15" customHeight="1" s="23">
      <c r="A9" s="34" t="inlineStr">
        <is>
          <t>4</t>
        </is>
      </c>
      <c r="B9" s="35" t="inlineStr">
        <is>
          <t>PV chantier, qualité, HSE, matériaux</t>
        </is>
      </c>
      <c r="C9" s="34">
        <f>COUNTIF(INDEX!$H$5:$H$283,A9)</f>
        <v/>
      </c>
      <c r="D9" s="34">
        <f>COUNTIFS(INDEX!$H$5:$H$283,A9,INDEX!$I$5:$I$283,"Créé")</f>
        <v/>
      </c>
      <c r="E9" s="34">
        <f>COUNTIFS(INDEX!$H$5:$H$283,A9,INDEX!$I$5:$I$283,"À créer")</f>
        <v/>
      </c>
    </row>
    <row r="10" ht="15" customHeight="1" s="23">
      <c r="A10" s="34" t="inlineStr">
        <is>
          <t>5</t>
        </is>
      </c>
      <c r="B10" s="35" t="inlineStr">
        <is>
          <t>Fournisseurs et sous-traitants</t>
        </is>
      </c>
      <c r="C10" s="34">
        <f>COUNTIF(INDEX!$H$5:$H$283,A10)</f>
        <v/>
      </c>
      <c r="D10" s="34">
        <f>COUNTIFS(INDEX!$H$5:$H$283,A10,INDEX!$I$5:$I$283,"Créé")</f>
        <v/>
      </c>
      <c r="E10" s="34">
        <f>COUNTIFS(INDEX!$H$5:$H$283,A10,INDEX!$I$5:$I$283,"À créer")</f>
        <v/>
      </c>
    </row>
    <row r="11" ht="15" customHeight="1" s="23">
      <c r="A11" s="34" t="inlineStr">
        <is>
          <t>6</t>
        </is>
      </c>
      <c r="B11" s="35" t="inlineStr">
        <is>
          <t>Personnel, matériel et véhicules</t>
        </is>
      </c>
      <c r="C11" s="34">
        <f>COUNTIF(INDEX!$H$5:$H$283,A11)</f>
        <v/>
      </c>
      <c r="D11" s="34">
        <f>COUNTIFS(INDEX!$H$5:$H$283,A11,INDEX!$I$5:$I$283,"Créé")</f>
        <v/>
      </c>
      <c r="E11" s="34">
        <f>COUNTIFS(INDEX!$H$5:$H$283,A11,INDEX!$I$5:$I$283,"À créer")</f>
        <v/>
      </c>
    </row>
    <row r="12" ht="15" customHeight="1" s="23">
      <c r="A12" s="34" t="inlineStr">
        <is>
          <t>7</t>
        </is>
      </c>
      <c r="B12" s="35" t="inlineStr">
        <is>
          <t>Administration EURL (décisions de l’associé unique)</t>
        </is>
      </c>
      <c r="C12" s="34">
        <f>COUNTIF(INDEX!$H$5:$H$283,A12)</f>
        <v/>
      </c>
      <c r="D12" s="34">
        <f>COUNTIFS(INDEX!$H$5:$H$283,A12,INDEX!$I$5:$I$283,"Créé")</f>
        <v/>
      </c>
      <c r="E12" s="34">
        <f>COUNTIFS(INDEX!$H$5:$H$283,A12,INDEX!$I$5:$I$283,"À créer")</f>
        <v/>
      </c>
    </row>
    <row r="13" ht="15" customHeight="1" s="23">
      <c r="A13" s="34" t="inlineStr">
        <is>
          <t>8</t>
        </is>
      </c>
      <c r="B13" s="35" t="inlineStr">
        <is>
          <t>Promotion immobilière</t>
        </is>
      </c>
      <c r="C13" s="34">
        <f>COUNTIF(INDEX!$H$5:$H$283,A13)</f>
        <v/>
      </c>
      <c r="D13" s="34">
        <f>COUNTIFS(INDEX!$H$5:$H$283,A13,INDEX!$I$5:$I$283,"Créé")</f>
        <v/>
      </c>
      <c r="E13" s="34">
        <f>COUNTIFS(INDEX!$H$5:$H$283,A13,INDEX!$I$5:$I$283,"À créer")</f>
        <v/>
      </c>
    </row>
    <row r="14" ht="23.85" customHeight="1" s="23">
      <c r="A14" s="34" t="inlineStr">
        <is>
          <t>9</t>
        </is>
      </c>
      <c r="B14" s="35" t="inlineStr">
        <is>
          <t>Ressources humaines : contrats de travail, attestation, congés, fiche de poste, règlement intérieur, ordre de mission, solde de tout compte</t>
        </is>
      </c>
      <c r="C14" s="34">
        <f>COUNTIF(INDEX!$H$5:$H$283,A14)</f>
        <v/>
      </c>
      <c r="D14" s="34">
        <f>COUNTIFS(INDEX!$H$5:$H$283,A14,INDEX!$I$5:$I$283,"Créé")</f>
        <v/>
      </c>
      <c r="E14" s="34">
        <f>COUNTIFS(INDEX!$H$5:$H$283,A14,INDEX!$I$5:$I$283,"À créer")</f>
        <v/>
      </c>
    </row>
    <row r="15" ht="23.85" customHeight="1" s="23">
      <c r="A15" s="34" t="inlineStr">
        <is>
          <t>10</t>
        </is>
      </c>
      <c r="B15" s="35" t="inlineStr">
        <is>
          <t>Correspondance et relation client : reçu, rappel, mise en demeure, réclamation, révision, transmission, attestation, résiliation, satisfaction, annulation</t>
        </is>
      </c>
      <c r="C15" s="34">
        <f>COUNTIF(INDEX!$H$5:$H$283,A15)</f>
        <v/>
      </c>
      <c r="D15" s="34">
        <f>COUNTIFS(INDEX!$H$5:$H$283,A15,INDEX!$I$5:$I$283,"Créé")</f>
        <v/>
      </c>
      <c r="E15" s="34">
        <f>COUNTIFS(INDEX!$H$5:$H$283,A15,INDEX!$I$5:$I$283,"À créer")</f>
        <v/>
      </c>
    </row>
    <row r="16" ht="23.85" customHeight="1" s="23">
      <c r="A16" s="34" t="inlineStr">
        <is>
          <t>11</t>
        </is>
      </c>
      <c r="B16" s="35" t="inlineStr">
        <is>
          <t>Suivi de chantier : journal, rapports, pointage, attachement, ordre de service, planning, approvisionnement, registre des non-conformités, sécurité quotidienne</t>
        </is>
      </c>
      <c r="C16" s="34">
        <f>COUNTIF(INDEX!$H$5:$H$283,A16)</f>
        <v/>
      </c>
      <c r="D16" s="34">
        <f>COUNTIFS(INDEX!$H$5:$H$283,A16,INDEX!$I$5:$I$283,"Créé")</f>
        <v/>
      </c>
      <c r="E16" s="34">
        <f>COUNTIFS(INDEX!$H$5:$H$283,A16,INDEX!$I$5:$I$283,"À créer")</f>
        <v/>
      </c>
    </row>
    <row r="17" ht="23.85" customHeight="1" s="23">
      <c r="A17" s="34" t="inlineStr">
        <is>
          <t>12</t>
        </is>
      </c>
      <c r="B17" s="35" t="inlineStr">
        <is>
          <t>Marchés publics : suivi des appels d’offres, dossier de candidature, offre technique, offre financière, garanties et exécution du marché</t>
        </is>
      </c>
      <c r="C17" s="34">
        <f>COUNTIF(INDEX!$H$5:$H$283,A17)</f>
        <v/>
      </c>
      <c r="D17" s="34">
        <f>COUNTIFS(INDEX!$H$5:$H$283,A17,INDEX!$I$5:$I$283,"Créé")</f>
        <v/>
      </c>
      <c r="E17" s="34">
        <f>COUNTIFS(INDEX!$H$5:$H$283,A17,INDEX!$I$5:$I$283,"À créer")</f>
        <v/>
      </c>
    </row>
    <row r="18" ht="23.85" customHeight="1" s="23">
      <c r="A18" s="34" t="inlineStr">
        <is>
          <t>13</t>
        </is>
      </c>
      <c r="B18" s="35" t="inlineStr">
        <is>
          <t>Intégration BLACKREBEL OS : guide, catalogue des champs et outil de remplissage automatique des documents à partir d’un tableau de données</t>
        </is>
      </c>
      <c r="C18" s="34">
        <f>COUNTIF(INDEX!$H$5:$H$283,A18)</f>
        <v/>
      </c>
      <c r="D18" s="34">
        <f>COUNTIFS(INDEX!$H$5:$H$283,A18,INDEX!$I$5:$I$283,"Créé")</f>
        <v/>
      </c>
      <c r="E18" s="34">
        <f>COUNTIFS(INDEX!$H$5:$H$283,A18,INDEX!$I$5:$I$283,"À créer")</f>
        <v/>
      </c>
    </row>
    <row r="19" ht="23.85" customHeight="1" s="23">
      <c r="A19" s="34" t="inlineStr">
        <is>
          <t>14</t>
        </is>
      </c>
      <c r="B19" s="35" t="inlineStr">
        <is>
          <t>Marchés publics — compléments et réorganisation par usage : 55 documents (analyse du cahier des charges, déclarations, capacités, dépôt, résultats, procédures simplifiées, attribution, exécution, clôture) et classement du dossier 10_MARCHES_PUBLICS en 15 dossiers</t>
        </is>
      </c>
      <c r="C19" s="34">
        <f>COUNTIF(INDEX!$H$5:$H$283,A19)</f>
        <v/>
      </c>
      <c r="D19" s="34">
        <f>COUNTIFS(INDEX!$H$5:$H$283,A19,INDEX!$I$5:$I$283,"Créé")</f>
        <v/>
      </c>
      <c r="E19" s="34">
        <f>COUNTIFS(INDEX!$H$5:$H$283,A19,INDEX!$I$5:$I$283,"À créer")</f>
        <v/>
      </c>
    </row>
    <row r="20" ht="15" customHeight="1" s="23">
      <c r="A20" s="36" t="inlineStr">
        <is>
          <t>TOTAL</t>
        </is>
      </c>
      <c r="B20" s="36" t="n"/>
      <c r="C20" s="36">
        <f>SUM(C5:C19)</f>
        <v/>
      </c>
      <c r="D20" s="36">
        <f>SUM(D5:D19)</f>
        <v/>
      </c>
      <c r="E20" s="36">
        <f>SUM(E5:E19)</f>
        <v/>
      </c>
    </row>
    <row r="21">
      <c r="A21" s="32" t="inlineStr">
        <is>
          <t>Contrôle : le total doit égaler le nombre de lignes de INDEX</t>
        </is>
      </c>
      <c r="C21" s="37">
        <f>IF(C20=COUNTA(INDEX!$A$5:$A$283),"OK","ÉCART")</f>
        <v/>
      </c>
    </row>
    <row r="23" ht="15" customHeight="1" s="23"/>
    <row r="24" ht="15" customHeight="1" s="23">
      <c r="A24" s="33" t="inlineStr">
        <is>
          <t>Famille</t>
        </is>
      </c>
      <c r="B24" s="33" t="inlineStr">
        <is>
          <t>Libellé</t>
        </is>
      </c>
      <c r="C24" s="33" t="inlineStr">
        <is>
          <t>Documents</t>
        </is>
      </c>
      <c r="D24" s="33" t="inlineStr">
        <is>
          <t>Créés</t>
        </is>
      </c>
      <c r="E24" s="33" t="inlineStr">
        <is>
          <t>À créer</t>
        </is>
      </c>
    </row>
    <row r="25" ht="15" customHeight="1" s="23">
      <c r="A25" s="38" t="inlineStr">
        <is>
          <t>DGS-CON-*</t>
        </is>
      </c>
      <c r="B25" s="39" t="inlineStr">
        <is>
          <t>Contrats</t>
        </is>
      </c>
      <c r="C25" s="38">
        <f>SUMPRODUCT(--(LEFT(INDEX!$A$5:$A$283,8)="DGS-CON-"))</f>
        <v/>
      </c>
      <c r="D25" s="38">
        <f>SUMPRODUCT(--(LEFT(INDEX!$A$5:$A$283,8)="DGS-CON-"),--(INDEX!$I$5:$I$283="Créé"))</f>
        <v/>
      </c>
      <c r="E25" s="38">
        <f>C25-D25</f>
        <v/>
      </c>
    </row>
    <row r="26" ht="15" customHeight="1" s="23">
      <c r="A26" s="38" t="inlineStr">
        <is>
          <t>DGS-PV-*</t>
        </is>
      </c>
      <c r="B26" s="39" t="inlineStr">
        <is>
          <t>Procès-verbaux clients</t>
        </is>
      </c>
      <c r="C26" s="38">
        <f>SUMPRODUCT(--(LEFT(INDEX!$A$5:$A$283,7)="DGS-PV-"))</f>
        <v/>
      </c>
      <c r="D26" s="38">
        <f>SUMPRODUCT(--(LEFT(INDEX!$A$5:$A$283,7)="DGS-PV-"),--(INDEX!$I$5:$I$283="Créé"))</f>
        <v/>
      </c>
      <c r="E26" s="38">
        <f>C26-D26</f>
        <v/>
      </c>
    </row>
    <row r="27" ht="15" customHeight="1" s="23">
      <c r="A27" s="38" t="inlineStr">
        <is>
          <t>DGS-CLI-*</t>
        </is>
      </c>
      <c r="B27" s="39" t="inlineStr">
        <is>
          <t>Documents clients</t>
        </is>
      </c>
      <c r="C27" s="38">
        <f>SUMPRODUCT(--(LEFT(INDEX!$A$5:$A$283,8)="DGS-CLI-"))</f>
        <v/>
      </c>
      <c r="D27" s="38">
        <f>SUMPRODUCT(--(LEFT(INDEX!$A$5:$A$283,8)="DGS-CLI-"),--(INDEX!$I$5:$I$283="Créé"))</f>
        <v/>
      </c>
      <c r="E27" s="38">
        <f>C27-D27</f>
        <v/>
      </c>
    </row>
    <row r="28" ht="15" customHeight="1" s="23">
      <c r="A28" s="38" t="inlineStr">
        <is>
          <t>DGS-CHT-*</t>
        </is>
      </c>
      <c r="B28" s="39" t="inlineStr">
        <is>
          <t>Chantiers</t>
        </is>
      </c>
      <c r="C28" s="38">
        <f>SUMPRODUCT(--(LEFT(INDEX!$A$5:$A$283,8)="DGS-CHT-"))</f>
        <v/>
      </c>
      <c r="D28" s="38">
        <f>SUMPRODUCT(--(LEFT(INDEX!$A$5:$A$283,8)="DGS-CHT-"),--(INDEX!$I$5:$I$283="Créé"))</f>
        <v/>
      </c>
      <c r="E28" s="38">
        <f>C28-D28</f>
        <v/>
      </c>
    </row>
    <row r="29" ht="15" customHeight="1" s="23">
      <c r="A29" s="38" t="inlineStr">
        <is>
          <t>DGS-FOU-*</t>
        </is>
      </c>
      <c r="B29" s="39" t="inlineStr">
        <is>
          <t>Fournisseurs</t>
        </is>
      </c>
      <c r="C29" s="38">
        <f>SUMPRODUCT(--(LEFT(INDEX!$A$5:$A$283,8)="DGS-FOU-"))</f>
        <v/>
      </c>
      <c r="D29" s="38">
        <f>SUMPRODUCT(--(LEFT(INDEX!$A$5:$A$283,8)="DGS-FOU-"),--(INDEX!$I$5:$I$283="Créé"))</f>
        <v/>
      </c>
      <c r="E29" s="38">
        <f>C29-D29</f>
        <v/>
      </c>
    </row>
    <row r="30" ht="15" customHeight="1" s="23">
      <c r="A30" s="38" t="inlineStr">
        <is>
          <t>DGS-ST-*</t>
        </is>
      </c>
      <c r="B30" s="39" t="inlineStr">
        <is>
          <t>Sous-traitants</t>
        </is>
      </c>
      <c r="C30" s="38">
        <f>SUMPRODUCT(--(LEFT(INDEX!$A$5:$A$283,7)="DGS-ST-"))</f>
        <v/>
      </c>
      <c r="D30" s="38">
        <f>SUMPRODUCT(--(LEFT(INDEX!$A$5:$A$283,7)="DGS-ST-"),--(INDEX!$I$5:$I$283="Créé"))</f>
        <v/>
      </c>
      <c r="E30" s="38">
        <f>C30-D30</f>
        <v/>
      </c>
    </row>
    <row r="31" ht="15" customHeight="1" s="23">
      <c r="A31" s="38" t="inlineStr">
        <is>
          <t>DGS-HSE-*</t>
        </is>
      </c>
      <c r="B31" s="39" t="inlineStr">
        <is>
          <t>Hygiène, sécurité, environnement</t>
        </is>
      </c>
      <c r="C31" s="38">
        <f>SUMPRODUCT(--(LEFT(INDEX!$A$5:$A$283,8)="DGS-HSE-"))</f>
        <v/>
      </c>
      <c r="D31" s="38">
        <f>SUMPRODUCT(--(LEFT(INDEX!$A$5:$A$283,8)="DGS-HSE-"),--(INDEX!$I$5:$I$283="Créé"))</f>
        <v/>
      </c>
      <c r="E31" s="38">
        <f>C31-D31</f>
        <v/>
      </c>
    </row>
    <row r="32" ht="15" customHeight="1" s="23">
      <c r="A32" s="38" t="inlineStr">
        <is>
          <t>DGS-QLT-*</t>
        </is>
      </c>
      <c r="B32" s="39" t="inlineStr">
        <is>
          <t>Qualité</t>
        </is>
      </c>
      <c r="C32" s="38">
        <f>SUMPRODUCT(--(LEFT(INDEX!$A$5:$A$283,8)="DGS-QLT-"))</f>
        <v/>
      </c>
      <c r="D32" s="38">
        <f>SUMPRODUCT(--(LEFT(INDEX!$A$5:$A$283,8)="DGS-QLT-"),--(INDEX!$I$5:$I$283="Créé"))</f>
        <v/>
      </c>
      <c r="E32" s="38">
        <f>C32-D32</f>
        <v/>
      </c>
    </row>
    <row r="33" ht="15" customHeight="1" s="23">
      <c r="A33" s="38" t="inlineStr">
        <is>
          <t>DGS-FIN-*</t>
        </is>
      </c>
      <c r="B33" s="39" t="inlineStr">
        <is>
          <t>Finance</t>
        </is>
      </c>
      <c r="C33" s="38">
        <f>SUMPRODUCT(--(LEFT(INDEX!$A$5:$A$283,8)="DGS-FIN-"))</f>
        <v/>
      </c>
      <c r="D33" s="38">
        <f>SUMPRODUCT(--(LEFT(INDEX!$A$5:$A$283,8)="DGS-FIN-"),--(INDEX!$I$5:$I$283="Créé"))</f>
        <v/>
      </c>
      <c r="E33" s="38">
        <f>C33-D33</f>
        <v/>
      </c>
    </row>
    <row r="34" ht="15" customHeight="1" s="23">
      <c r="A34" s="38" t="inlineStr">
        <is>
          <t>DGS-ADM-*</t>
        </is>
      </c>
      <c r="B34" s="39" t="inlineStr">
        <is>
          <t>Administration</t>
        </is>
      </c>
      <c r="C34" s="38">
        <f>SUMPRODUCT(--(LEFT(INDEX!$A$5:$A$283,8)="DGS-ADM-"))</f>
        <v/>
      </c>
      <c r="D34" s="38">
        <f>SUMPRODUCT(--(LEFT(INDEX!$A$5:$A$283,8)="DGS-ADM-"),--(INDEX!$I$5:$I$283="Créé"))</f>
        <v/>
      </c>
      <c r="E34" s="38">
        <f>C34-D34</f>
        <v/>
      </c>
    </row>
    <row r="35" ht="15" customHeight="1" s="23">
      <c r="A35" s="38" t="inlineStr">
        <is>
          <t>DGS-PER-*</t>
        </is>
      </c>
      <c r="B35" s="39" t="inlineStr">
        <is>
          <t>Personnel (extension)</t>
        </is>
      </c>
      <c r="C35" s="38">
        <f>SUMPRODUCT(--(LEFT(INDEX!$A$5:$A$283,8)="DGS-PER-"))</f>
        <v/>
      </c>
      <c r="D35" s="38">
        <f>SUMPRODUCT(--(LEFT(INDEX!$A$5:$A$283,8)="DGS-PER-"),--(INDEX!$I$5:$I$283="Créé"))</f>
        <v/>
      </c>
      <c r="E35" s="38">
        <f>C35-D35</f>
        <v/>
      </c>
    </row>
    <row r="36" ht="15" customHeight="1" s="23">
      <c r="A36" s="38" t="inlineStr">
        <is>
          <t>DGS-MAT-*</t>
        </is>
      </c>
      <c r="B36" s="39" t="inlineStr">
        <is>
          <t>Matériel et véhicules (extension)</t>
        </is>
      </c>
      <c r="C36" s="38">
        <f>SUMPRODUCT(--(LEFT(INDEX!$A$5:$A$283,8)="DGS-MAT-"))</f>
        <v/>
      </c>
      <c r="D36" s="38">
        <f>SUMPRODUCT(--(LEFT(INDEX!$A$5:$A$283,8)="DGS-MAT-"),--(INDEX!$I$5:$I$283="Créé"))</f>
        <v/>
      </c>
      <c r="E36" s="38">
        <f>C36-D36</f>
        <v/>
      </c>
    </row>
    <row r="37" ht="15" customHeight="1" s="23">
      <c r="A37" s="38" t="inlineStr">
        <is>
          <t>DGS-PRO-*</t>
        </is>
      </c>
      <c r="B37" s="39" t="inlineStr">
        <is>
          <t>Promotion immobilière (extension)</t>
        </is>
      </c>
      <c r="C37" s="38">
        <f>SUMPRODUCT(--(LEFT(INDEX!$A$5:$A$283,8)="DGS-PRO-"))</f>
        <v/>
      </c>
      <c r="D37" s="38">
        <f>SUMPRODUCT(--(LEFT(INDEX!$A$5:$A$283,8)="DGS-PRO-"),--(INDEX!$I$5:$I$283="Créé"))</f>
        <v/>
      </c>
      <c r="E37" s="38">
        <f>C37-D37</f>
        <v/>
      </c>
    </row>
    <row r="38" ht="15" customHeight="1" s="23">
      <c r="A38" s="38" t="inlineStr">
        <is>
          <t>DGS-MAR-*</t>
        </is>
      </c>
      <c r="B38" s="39" t="inlineStr">
        <is>
          <t>Marchés publics (extension)</t>
        </is>
      </c>
      <c r="C38" s="38">
        <f>SUMPRODUCT(--(LEFT(INDEX!$A$5:$A$283,8)="DGS-MAR-"))</f>
        <v/>
      </c>
      <c r="D38" s="38">
        <f>SUMPRODUCT(--(LEFT(INDEX!$A$5:$A$283,8)="DGS-MAR-"),--(INDEX!$I$5:$I$283="Créé"))</f>
        <v/>
      </c>
      <c r="E38" s="38">
        <f>C38-D38</f>
        <v/>
      </c>
    </row>
    <row r="39">
      <c r="A39" s="38" t="inlineStr">
        <is>
          <t>DGS-SYS-*</t>
        </is>
      </c>
      <c r="B39" s="39" t="inlineStr">
        <is>
          <t>Système documentaire (extension)</t>
        </is>
      </c>
      <c r="C39" s="38">
        <f>SUMPRODUCT(--(LEFT(INDEX!$A$5:$A$283,8)="DGS-SYS-"))</f>
        <v/>
      </c>
      <c r="D39" s="38">
        <f>SUMPRODUCT(--(LEFT(INDEX!$A$5:$A$283,8)="DGS-SYS-"),--(INDEX!$I$5:$I$283="Créé"))</f>
        <v/>
      </c>
      <c r="E39" s="38">
        <f>C39-D39</f>
        <v/>
      </c>
    </row>
    <row r="41" ht="15" customHeight="1" s="23"/>
    <row r="42" ht="15" customHeight="1" s="23">
      <c r="A42" s="40" t="inlineStr">
        <is>
          <t>LÉGENDE — cellules à modifier</t>
        </is>
      </c>
    </row>
    <row r="43" ht="15" customHeight="1" s="23">
      <c r="A43" s="41" t="inlineStr">
        <is>
          <t>INDEX, colonne « Statut de création » : passer de « À créer » à « Créé » lorsque le fichier est produit.</t>
        </is>
      </c>
    </row>
    <row r="44" ht="15" customHeight="1" s="23">
      <c r="A44" s="41" t="inlineStr">
        <is>
          <t>INDEX, colonne « Statut du document » : BROUILLON, VALIDÉ ou OBSOLÈTE selon la procédure du README.</t>
        </is>
      </c>
    </row>
    <row r="45" ht="15" customHeight="1" s="23">
      <c r="A45" s="41" t="inlineStr">
        <is>
          <t>INDEX, colonne « Version » : mettre à jour à chaque nouvelle version (V1.1, V2.0…).</t>
        </is>
      </c>
    </row>
    <row r="46">
      <c r="A46" s="41" t="inlineStr">
        <is>
          <t>Les lignes sur fond doré clair sont les documents déjà créés (lots 1 et 2). Exemple de ligne : DGS-CLI-001 · Fiche d’identification client · V1.0 · Créé · BROUILLON.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2" min="1" max="1"/>
    <col width="42" customWidth="1" style="22" min="2" max="2"/>
    <col width="18" customWidth="1" style="22" min="3" max="3"/>
    <col width="62" customWidth="1" style="22" min="4" max="4"/>
  </cols>
  <sheetData>
    <row r="1" ht="15" customHeight="1" s="23">
      <c r="A1" s="42" t="inlineStr">
        <is>
          <t>CORRESPONDANCES — intitulés de la liste initiale regroupés sous un code unique</t>
        </is>
      </c>
    </row>
    <row r="3" ht="15" customHeight="1" s="23">
      <c r="A3" s="43" t="inlineStr">
        <is>
          <t>N° liste</t>
        </is>
      </c>
      <c r="B3" s="43" t="inlineStr">
        <is>
          <t>Intitulé demandé</t>
        </is>
      </c>
      <c r="C3" s="43" t="inlineStr">
        <is>
          <t>Code retenu</t>
        </is>
      </c>
      <c r="D3" s="43" t="inlineStr">
        <is>
          <t>Motif</t>
        </is>
      </c>
    </row>
    <row r="4" ht="15" customHeight="1" s="23">
      <c r="A4" s="44" t="n">
        <v>61</v>
      </c>
      <c r="B4" s="44" t="inlineStr">
        <is>
          <t>PV de validation d’échantillon</t>
        </is>
      </c>
      <c r="C4" s="44" t="inlineStr">
        <is>
          <t>DGS-PV-008</t>
        </is>
      </c>
      <c r="D4" s="44" t="inlineStr">
        <is>
          <t>Identique au PV de validation des échantillons (n° 30)</t>
        </is>
      </c>
    </row>
    <row r="5" ht="15" customHeight="1" s="23">
      <c r="A5" s="44" t="n">
        <v>65</v>
      </c>
      <c r="B5" s="44" t="inlineStr">
        <is>
          <t>PV de non-conformité fournisseur</t>
        </is>
      </c>
      <c r="C5" s="44" t="inlineStr">
        <is>
          <t>DGS-FOU-007</t>
        </is>
      </c>
      <c r="D5" s="44" t="inlineStr">
        <is>
          <t>Identique au PV non-conformité fournisseur (n° 91)</t>
        </is>
      </c>
    </row>
    <row r="6" ht="15" customHeight="1" s="23">
      <c r="A6" s="44" t="n">
        <v>67</v>
      </c>
      <c r="B6" s="44" t="inlineStr">
        <is>
          <t>PV de réunion de chantier</t>
        </is>
      </c>
      <c r="C6" s="44" t="inlineStr">
        <is>
          <t>DGS-PV-010</t>
        </is>
      </c>
      <c r="D6" s="44" t="inlineStr">
        <is>
          <t>Identique au PV de réunion de chantier (n° 32)</t>
        </is>
      </c>
    </row>
    <row r="7" ht="15" customHeight="1" s="23">
      <c r="A7" s="44" t="n">
        <v>83</v>
      </c>
      <c r="B7" s="44" t="inlineStr">
        <is>
          <t>PV de suspension</t>
        </is>
      </c>
      <c r="C7" s="44" t="inlineStr">
        <is>
          <t>DGS-PV-017</t>
        </is>
      </c>
      <c r="D7" s="44" t="inlineStr">
        <is>
          <t>Identique au PV de suspension des travaux (n° 39)</t>
        </is>
      </c>
    </row>
    <row r="8" ht="15" customHeight="1" s="23">
      <c r="A8" s="44" t="n">
        <v>84</v>
      </c>
      <c r="B8" s="44" t="inlineStr">
        <is>
          <t>PV de reprise</t>
        </is>
      </c>
      <c r="C8" s="44" t="inlineStr">
        <is>
          <t>DGS-PV-018</t>
        </is>
      </c>
      <c r="D8" s="44" t="inlineStr">
        <is>
          <t>Identique au PV de reprise des travaux (n° 40)</t>
        </is>
      </c>
    </row>
    <row r="9" ht="15" customHeight="1" s="23">
      <c r="A9" s="44" t="n">
        <v>107</v>
      </c>
      <c r="B9" s="44" t="inlineStr">
        <is>
          <t>PV restitution véhicule</t>
        </is>
      </c>
      <c r="C9" s="44" t="inlineStr">
        <is>
          <t>DGS-MAT-005</t>
        </is>
      </c>
      <c r="D9" s="44" t="inlineStr">
        <is>
          <t>Identique au PV restitution véhicule (n° 115)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EURL DYNAMIC GROUP SOLUTION — DGS</dc:creator>
  <dc:title xmlns:dc="http://purl.org/dc/elements/1.1/">DGS-SYS-003 — Index des documents DGS</dc:title>
  <dc:language xmlns:dc="http://purl.org/dc/elements/1.1/">en-US</dc:language>
  <dcterms:created xmlns:dcterms="http://purl.org/dc/terms/" xmlns:xsi="http://www.w3.org/2001/XMLSchema-instance" xsi:type="dcterms:W3CDTF">2026-09-22T19:44:25Z</dcterms:created>
  <dcterms:modified xmlns:dcterms="http://purl.org/dc/terms/" xmlns:xsi="http://www.w3.org/2001/XMLSchema-instance" xsi:type="dcterms:W3CDTF">2026-10-05T19:59:27Z</dcterms:modified>
  <cp:revision>0</cp:revision>
</cp:coreProperties>
</file>